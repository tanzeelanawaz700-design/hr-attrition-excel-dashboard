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BF\EXCELCNV\e041649f-e92a-4637-b381-5cbb302351ec\"/>
    </mc:Choice>
  </mc:AlternateContent>
  <xr:revisionPtr revIDLastSave="0" documentId="8_{39B92A70-3E73-48EF-9860-FD9FD1B40B5E}" xr6:coauthVersionLast="47" xr6:coauthVersionMax="47" xr10:uidLastSave="{00000000-0000-0000-0000-000000000000}"/>
  <bookViews>
    <workbookView xWindow="-60" yWindow="-60" windowWidth="15480" windowHeight="11640" firstSheet="4" activeTab="4" xr2:uid="{049D74E7-FA6B-4C56-A2AC-B805431810C7}"/>
  </bookViews>
  <sheets>
    <sheet name="Raw data" sheetId="1" r:id="rId1"/>
    <sheet name="pivot" sheetId="7" r:id="rId2"/>
    <sheet name="Clean data" sheetId="3" r:id="rId3"/>
    <sheet name="Dashboards" sheetId="5" r:id="rId4"/>
    <sheet name="HR_Attrition_Analysis.xlsx" sheetId="2" r:id="rId5"/>
  </sheets>
  <calcPr calcId="191028"/>
  <pivotCaches>
    <pivotCache cacheId="3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R4" i="5"/>
  <c r="N4" i="5"/>
  <c r="J4" i="5"/>
  <c r="F4" i="5"/>
  <c r="AL1471" i="3"/>
  <c r="AL1470" i="3"/>
  <c r="AL1469" i="3"/>
  <c r="AL1468" i="3"/>
  <c r="AL1467" i="3"/>
  <c r="AL1466" i="3"/>
  <c r="AL1465" i="3"/>
  <c r="AL1464" i="3"/>
  <c r="AL1463" i="3"/>
  <c r="AL1462" i="3"/>
  <c r="AL1461" i="3"/>
  <c r="AL1460" i="3"/>
  <c r="AL1459" i="3"/>
  <c r="AL1458" i="3"/>
  <c r="AL1457" i="3"/>
  <c r="AL1456" i="3"/>
  <c r="AL1455" i="3"/>
  <c r="AL1454" i="3"/>
  <c r="AL1453" i="3"/>
  <c r="AL1452" i="3"/>
  <c r="AL1451" i="3"/>
  <c r="AL1450" i="3"/>
  <c r="AL1449" i="3"/>
  <c r="AL1448" i="3"/>
  <c r="AL1447" i="3"/>
  <c r="AL1446" i="3"/>
  <c r="AL1445" i="3"/>
  <c r="AL1444" i="3"/>
  <c r="AL1443" i="3"/>
  <c r="AL1442" i="3"/>
  <c r="AL1441" i="3"/>
  <c r="AL1440" i="3"/>
  <c r="AL1439" i="3"/>
  <c r="AL1438" i="3"/>
  <c r="AL1437" i="3"/>
  <c r="AL1436" i="3"/>
  <c r="AL1435" i="3"/>
  <c r="AL1434" i="3"/>
  <c r="AL1433" i="3"/>
  <c r="AL1432" i="3"/>
  <c r="AL1431" i="3"/>
  <c r="AL1430" i="3"/>
  <c r="AL1429" i="3"/>
  <c r="AL1428" i="3"/>
  <c r="AL1427" i="3"/>
  <c r="AL1426" i="3"/>
  <c r="AL1425" i="3"/>
  <c r="AL1424" i="3"/>
  <c r="AL1423" i="3"/>
  <c r="AL1422" i="3"/>
  <c r="AL1421" i="3"/>
  <c r="AL1420" i="3"/>
  <c r="AL1419" i="3"/>
  <c r="AL1418" i="3"/>
  <c r="AL1417" i="3"/>
  <c r="AL1416" i="3"/>
  <c r="AL1415" i="3"/>
  <c r="AL1414" i="3"/>
  <c r="AL1413" i="3"/>
  <c r="AL1412" i="3"/>
  <c r="AL1411" i="3"/>
  <c r="AL1410" i="3"/>
  <c r="AL1409" i="3"/>
  <c r="AL1408" i="3"/>
  <c r="AL1407" i="3"/>
  <c r="AL1406" i="3"/>
  <c r="AL1405" i="3"/>
  <c r="AL1404" i="3"/>
  <c r="AL1403" i="3"/>
  <c r="AL1402" i="3"/>
  <c r="AL1401" i="3"/>
  <c r="AL1400" i="3"/>
  <c r="AL1399" i="3"/>
  <c r="AL1398" i="3"/>
  <c r="AL1397" i="3"/>
  <c r="AL1396" i="3"/>
  <c r="AL1395" i="3"/>
  <c r="AL1394" i="3"/>
  <c r="AL1393" i="3"/>
  <c r="AL1392" i="3"/>
  <c r="AL1391" i="3"/>
  <c r="AL1390" i="3"/>
  <c r="AL1389" i="3"/>
  <c r="AL1388" i="3"/>
  <c r="AL1387" i="3"/>
  <c r="AL1386" i="3"/>
  <c r="AL1385" i="3"/>
  <c r="AL1384" i="3"/>
  <c r="AL1383" i="3"/>
  <c r="AL1382" i="3"/>
  <c r="AL1381" i="3"/>
  <c r="AL1380" i="3"/>
  <c r="AL1379" i="3"/>
  <c r="AL1378" i="3"/>
  <c r="AL1377" i="3"/>
  <c r="AL1376" i="3"/>
  <c r="AL1375" i="3"/>
  <c r="AL1374" i="3"/>
  <c r="AL1373" i="3"/>
  <c r="AL1372" i="3"/>
  <c r="AL1371" i="3"/>
  <c r="AL1370" i="3"/>
  <c r="AL1369" i="3"/>
  <c r="AL1368" i="3"/>
  <c r="AL1367" i="3"/>
  <c r="AL1366" i="3"/>
  <c r="AL1365" i="3"/>
  <c r="AL1364" i="3"/>
  <c r="AL1363" i="3"/>
  <c r="AL1362" i="3"/>
  <c r="AL1361" i="3"/>
  <c r="AL1360" i="3"/>
  <c r="AL1359" i="3"/>
  <c r="AL1358" i="3"/>
  <c r="AL1357" i="3"/>
  <c r="AL1356" i="3"/>
  <c r="AL1355" i="3"/>
  <c r="AL1354" i="3"/>
  <c r="AL1353" i="3"/>
  <c r="AL1352" i="3"/>
  <c r="AL1351" i="3"/>
  <c r="AL1350" i="3"/>
  <c r="AL1349" i="3"/>
  <c r="AL1348" i="3"/>
  <c r="AL1347" i="3"/>
  <c r="AL1346" i="3"/>
  <c r="AL1345" i="3"/>
  <c r="AL1344" i="3"/>
  <c r="AL1343" i="3"/>
  <c r="AL1342" i="3"/>
  <c r="AL1341" i="3"/>
  <c r="AL1340" i="3"/>
  <c r="AL1339" i="3"/>
  <c r="AL1338" i="3"/>
  <c r="AL1337" i="3"/>
  <c r="AL1336" i="3"/>
  <c r="AL1335" i="3"/>
  <c r="AL1334" i="3"/>
  <c r="AL1333" i="3"/>
  <c r="AL1332" i="3"/>
  <c r="AL1331" i="3"/>
  <c r="AL1330" i="3"/>
  <c r="AL1329" i="3"/>
  <c r="AL1328" i="3"/>
  <c r="AL1327" i="3"/>
  <c r="AL1326" i="3"/>
  <c r="AL1325" i="3"/>
  <c r="AL1324" i="3"/>
  <c r="AL1323" i="3"/>
  <c r="AL1322" i="3"/>
  <c r="AL1321" i="3"/>
  <c r="AL1320" i="3"/>
  <c r="AL1319" i="3"/>
  <c r="AL1318" i="3"/>
  <c r="AL1317" i="3"/>
  <c r="AL1316" i="3"/>
  <c r="AL1315" i="3"/>
  <c r="AL1314" i="3"/>
  <c r="AL1313" i="3"/>
  <c r="AL1312" i="3"/>
  <c r="AL1311" i="3"/>
  <c r="AL1310" i="3"/>
  <c r="AL1309" i="3"/>
  <c r="AL1308" i="3"/>
  <c r="AL1307" i="3"/>
  <c r="AL1306" i="3"/>
  <c r="AL1305" i="3"/>
  <c r="AL1304" i="3"/>
  <c r="AL1303" i="3"/>
  <c r="AL1302" i="3"/>
  <c r="AL1301" i="3"/>
  <c r="AL1300" i="3"/>
  <c r="AL1299" i="3"/>
  <c r="AL1298" i="3"/>
  <c r="AL1297" i="3"/>
  <c r="AL1296" i="3"/>
  <c r="AL1295" i="3"/>
  <c r="AL1294" i="3"/>
  <c r="AL1293" i="3"/>
  <c r="AL1292" i="3"/>
  <c r="AL1291" i="3"/>
  <c r="AL1290" i="3"/>
  <c r="AL1289" i="3"/>
  <c r="AL1288" i="3"/>
  <c r="AL1287" i="3"/>
  <c r="AL1286" i="3"/>
  <c r="AL1285" i="3"/>
  <c r="AL1284" i="3"/>
  <c r="AL1283" i="3"/>
  <c r="AL1282" i="3"/>
  <c r="AL1281" i="3"/>
  <c r="AL1280" i="3"/>
  <c r="AL1279" i="3"/>
  <c r="AL1278" i="3"/>
  <c r="AL1277" i="3"/>
  <c r="AL1276" i="3"/>
  <c r="AL1275" i="3"/>
  <c r="AL1274" i="3"/>
  <c r="AL1273" i="3"/>
  <c r="AL1272" i="3"/>
  <c r="AL1271" i="3"/>
  <c r="AL1270" i="3"/>
  <c r="AL1269" i="3"/>
  <c r="AL1268" i="3"/>
  <c r="AL1267" i="3"/>
  <c r="AL1266" i="3"/>
  <c r="AL1265" i="3"/>
  <c r="AL1264" i="3"/>
  <c r="AL1263" i="3"/>
  <c r="AL1262" i="3"/>
  <c r="AL1261" i="3"/>
  <c r="AL1260" i="3"/>
  <c r="AL1259" i="3"/>
  <c r="AL1258" i="3"/>
  <c r="AL1257" i="3"/>
  <c r="AL1256" i="3"/>
  <c r="AL1255" i="3"/>
  <c r="AL1254" i="3"/>
  <c r="AL1253" i="3"/>
  <c r="AL1252" i="3"/>
  <c r="AL1251" i="3"/>
  <c r="AL1250" i="3"/>
  <c r="AL1249" i="3"/>
  <c r="AL1248" i="3"/>
  <c r="AL1247" i="3"/>
  <c r="AL1246" i="3"/>
  <c r="AL1245" i="3"/>
  <c r="AL1244" i="3"/>
  <c r="AL1243" i="3"/>
  <c r="AL1242" i="3"/>
  <c r="AL1241" i="3"/>
  <c r="AL1240" i="3"/>
  <c r="AL1239" i="3"/>
  <c r="AL1238" i="3"/>
  <c r="AL1237" i="3"/>
  <c r="AL1236" i="3"/>
  <c r="AL1235" i="3"/>
  <c r="AL1234" i="3"/>
  <c r="AL1233" i="3"/>
  <c r="AL1232" i="3"/>
  <c r="AL1231" i="3"/>
  <c r="AL1230" i="3"/>
  <c r="AL1229" i="3"/>
  <c r="AL1228" i="3"/>
  <c r="AL1227" i="3"/>
  <c r="AL1226" i="3"/>
  <c r="AL1225" i="3"/>
  <c r="AL1224" i="3"/>
  <c r="AL1223" i="3"/>
  <c r="AL1222" i="3"/>
  <c r="AL1221" i="3"/>
  <c r="AL1220" i="3"/>
  <c r="AL1219" i="3"/>
  <c r="AL1218" i="3"/>
  <c r="AL1217" i="3"/>
  <c r="AL1216" i="3"/>
  <c r="AL1215" i="3"/>
  <c r="AL1214" i="3"/>
  <c r="AL1213" i="3"/>
  <c r="AL1212" i="3"/>
  <c r="AL1211" i="3"/>
  <c r="AL1210" i="3"/>
  <c r="AL1209" i="3"/>
  <c r="AL1208" i="3"/>
  <c r="AL1207" i="3"/>
  <c r="AL1206" i="3"/>
  <c r="AL1205" i="3"/>
  <c r="AL1204" i="3"/>
  <c r="AL1203" i="3"/>
  <c r="AL1202" i="3"/>
  <c r="AL1201" i="3"/>
  <c r="AL1200" i="3"/>
  <c r="AL1199" i="3"/>
  <c r="AL1198" i="3"/>
  <c r="AL1197" i="3"/>
  <c r="AL1196" i="3"/>
  <c r="AL1195" i="3"/>
  <c r="AL1194" i="3"/>
  <c r="AL1193" i="3"/>
  <c r="AL1192" i="3"/>
  <c r="AL1191" i="3"/>
  <c r="AL1190" i="3"/>
  <c r="AL1189" i="3"/>
  <c r="AL1188" i="3"/>
  <c r="AL1187" i="3"/>
  <c r="AL1186" i="3"/>
  <c r="AL1185" i="3"/>
  <c r="AL1184" i="3"/>
  <c r="AL1183" i="3"/>
  <c r="AL1182" i="3"/>
  <c r="AL1181" i="3"/>
  <c r="AL1180" i="3"/>
  <c r="AL1179" i="3"/>
  <c r="AL1178" i="3"/>
  <c r="AL1177" i="3"/>
  <c r="AL1176" i="3"/>
  <c r="AL1175" i="3"/>
  <c r="AL1174" i="3"/>
  <c r="AL1173" i="3"/>
  <c r="AL1172" i="3"/>
  <c r="AL1171" i="3"/>
  <c r="AL1170" i="3"/>
  <c r="AL1169" i="3"/>
  <c r="AL1168" i="3"/>
  <c r="AL1167" i="3"/>
  <c r="AL1166" i="3"/>
  <c r="AL1165" i="3"/>
  <c r="AL1164" i="3"/>
  <c r="AL1163" i="3"/>
  <c r="AL1162" i="3"/>
  <c r="AL1161" i="3"/>
  <c r="AL1160" i="3"/>
  <c r="AL1159" i="3"/>
  <c r="AL1158" i="3"/>
  <c r="AL1157" i="3"/>
  <c r="AL1156" i="3"/>
  <c r="AL1155" i="3"/>
  <c r="AL1154" i="3"/>
  <c r="AL1153" i="3"/>
  <c r="AL1152" i="3"/>
  <c r="AL1151" i="3"/>
  <c r="AL1150" i="3"/>
  <c r="AL1149" i="3"/>
  <c r="AL1148" i="3"/>
  <c r="AL1147" i="3"/>
  <c r="AL1146" i="3"/>
  <c r="AL1145" i="3"/>
  <c r="AL1144" i="3"/>
  <c r="AL1143" i="3"/>
  <c r="AL1142" i="3"/>
  <c r="AL1141" i="3"/>
  <c r="AL1140" i="3"/>
  <c r="AL1139" i="3"/>
  <c r="AL1138" i="3"/>
  <c r="AL1137" i="3"/>
  <c r="AL1136" i="3"/>
  <c r="AL1135" i="3"/>
  <c r="AL1134" i="3"/>
  <c r="AL1133" i="3"/>
  <c r="AL1132" i="3"/>
  <c r="AL1131" i="3"/>
  <c r="AL1130" i="3"/>
  <c r="AL1129" i="3"/>
  <c r="AL1128" i="3"/>
  <c r="AL1127" i="3"/>
  <c r="AL1126" i="3"/>
  <c r="AL1125" i="3"/>
  <c r="AL1124" i="3"/>
  <c r="AL1123" i="3"/>
  <c r="AL1122" i="3"/>
  <c r="AL1121" i="3"/>
  <c r="AL1120" i="3"/>
  <c r="AL1119" i="3"/>
  <c r="AL1118" i="3"/>
  <c r="AL1117" i="3"/>
  <c r="AL1116" i="3"/>
  <c r="AL1115" i="3"/>
  <c r="AL1114" i="3"/>
  <c r="AL1113" i="3"/>
  <c r="AL1112" i="3"/>
  <c r="AL1111" i="3"/>
  <c r="AL1110" i="3"/>
  <c r="AL1109" i="3"/>
  <c r="AL1108" i="3"/>
  <c r="AL1107" i="3"/>
  <c r="AL1106" i="3"/>
  <c r="AL1105" i="3"/>
  <c r="AL1104" i="3"/>
  <c r="AL1103" i="3"/>
  <c r="AL1102" i="3"/>
  <c r="AL1101" i="3"/>
  <c r="AL1100" i="3"/>
  <c r="AL1099" i="3"/>
  <c r="AL1098" i="3"/>
  <c r="AL1097" i="3"/>
  <c r="AL1096" i="3"/>
  <c r="AL1095" i="3"/>
  <c r="AL1094" i="3"/>
  <c r="AL1093" i="3"/>
  <c r="AL1092" i="3"/>
  <c r="AL1091" i="3"/>
  <c r="AL1090" i="3"/>
  <c r="AL1089" i="3"/>
  <c r="AL1088" i="3"/>
  <c r="AL1087" i="3"/>
  <c r="AL1086" i="3"/>
  <c r="AL1085" i="3"/>
  <c r="AL1084" i="3"/>
  <c r="AL1083" i="3"/>
  <c r="AL1082" i="3"/>
  <c r="AL1081" i="3"/>
  <c r="AL1080" i="3"/>
  <c r="AL1079" i="3"/>
  <c r="AL1078" i="3"/>
  <c r="AL1077" i="3"/>
  <c r="AL1076" i="3"/>
  <c r="AL1075" i="3"/>
  <c r="AL1074" i="3"/>
  <c r="AL1073" i="3"/>
  <c r="AL1072" i="3"/>
  <c r="AL1071" i="3"/>
  <c r="AL1070" i="3"/>
  <c r="AL1069" i="3"/>
  <c r="AL1068" i="3"/>
  <c r="AL1067" i="3"/>
  <c r="AL1066" i="3"/>
  <c r="AL1065" i="3"/>
  <c r="AL1064" i="3"/>
  <c r="AL1063" i="3"/>
  <c r="AL1062" i="3"/>
  <c r="AL1061" i="3"/>
  <c r="AL1060" i="3"/>
  <c r="AL1059" i="3"/>
  <c r="AL1058" i="3"/>
  <c r="AL1057" i="3"/>
  <c r="AL1056" i="3"/>
  <c r="AL1055" i="3"/>
  <c r="AL1054" i="3"/>
  <c r="AL1053" i="3"/>
  <c r="AL1052" i="3"/>
  <c r="AL1051" i="3"/>
  <c r="AL1050" i="3"/>
  <c r="AL1049" i="3"/>
  <c r="AL1048" i="3"/>
  <c r="AL1047" i="3"/>
  <c r="AL1046" i="3"/>
  <c r="AL1045" i="3"/>
  <c r="AL1044" i="3"/>
  <c r="AL1043" i="3"/>
  <c r="AL1042" i="3"/>
  <c r="AL1041" i="3"/>
  <c r="AL1040" i="3"/>
  <c r="AL1039" i="3"/>
  <c r="AL1038" i="3"/>
  <c r="AL1037" i="3"/>
  <c r="AL1036" i="3"/>
  <c r="AL1035" i="3"/>
  <c r="AL1034" i="3"/>
  <c r="AL1033" i="3"/>
  <c r="AL1032" i="3"/>
  <c r="AL1031" i="3"/>
  <c r="AL1030" i="3"/>
  <c r="AL1029" i="3"/>
  <c r="AL1028" i="3"/>
  <c r="AL1027" i="3"/>
  <c r="AL1026" i="3"/>
  <c r="AL1025" i="3"/>
  <c r="AL1024" i="3"/>
  <c r="AL1023" i="3"/>
  <c r="AL1022" i="3"/>
  <c r="AL1021" i="3"/>
  <c r="AL1020" i="3"/>
  <c r="AL1019" i="3"/>
  <c r="AL1018" i="3"/>
  <c r="AL1017" i="3"/>
  <c r="AL1016" i="3"/>
  <c r="AL1015" i="3"/>
  <c r="AL1014" i="3"/>
  <c r="AL1013" i="3"/>
  <c r="AL1012" i="3"/>
  <c r="AL1011" i="3"/>
  <c r="AL1010" i="3"/>
  <c r="AL1009" i="3"/>
  <c r="AL1008" i="3"/>
  <c r="AL1007" i="3"/>
  <c r="AL1006" i="3"/>
  <c r="AL1005" i="3"/>
  <c r="AL1004" i="3"/>
  <c r="AL1003" i="3"/>
  <c r="AL1002" i="3"/>
  <c r="AL1001" i="3"/>
  <c r="AL1000" i="3"/>
  <c r="AL999" i="3"/>
  <c r="AL998" i="3"/>
  <c r="AL997" i="3"/>
  <c r="AL996" i="3"/>
  <c r="AL995" i="3"/>
  <c r="AL994" i="3"/>
  <c r="AL993" i="3"/>
  <c r="AL992" i="3"/>
  <c r="AL991" i="3"/>
  <c r="AL990" i="3"/>
  <c r="AL989" i="3"/>
  <c r="AL988" i="3"/>
  <c r="AL987" i="3"/>
  <c r="AL986" i="3"/>
  <c r="AL985" i="3"/>
  <c r="AL984" i="3"/>
  <c r="AL983" i="3"/>
  <c r="AL982" i="3"/>
  <c r="AL981" i="3"/>
  <c r="AL980" i="3"/>
  <c r="AL979" i="3"/>
  <c r="AL978" i="3"/>
  <c r="AL977" i="3"/>
  <c r="AL976" i="3"/>
  <c r="AL975" i="3"/>
  <c r="AL974" i="3"/>
  <c r="AL973" i="3"/>
  <c r="AL972" i="3"/>
  <c r="AL971" i="3"/>
  <c r="AL970" i="3"/>
  <c r="AL969" i="3"/>
  <c r="AL968" i="3"/>
  <c r="AL967" i="3"/>
  <c r="AL966" i="3"/>
  <c r="AL965" i="3"/>
  <c r="AL964" i="3"/>
  <c r="AL963" i="3"/>
  <c r="AL962" i="3"/>
  <c r="AL961" i="3"/>
  <c r="AL960" i="3"/>
  <c r="AL959" i="3"/>
  <c r="AL958" i="3"/>
  <c r="AL957" i="3"/>
  <c r="AL956" i="3"/>
  <c r="AL955" i="3"/>
  <c r="AL954" i="3"/>
  <c r="AL953" i="3"/>
  <c r="AL952" i="3"/>
  <c r="AL951" i="3"/>
  <c r="AL950" i="3"/>
  <c r="AL949" i="3"/>
  <c r="AL948" i="3"/>
  <c r="AL947" i="3"/>
  <c r="AL946" i="3"/>
  <c r="AL945" i="3"/>
  <c r="AL944" i="3"/>
  <c r="AL943" i="3"/>
  <c r="AL942" i="3"/>
  <c r="AL941" i="3"/>
  <c r="AL940" i="3"/>
  <c r="AL939" i="3"/>
  <c r="AL938" i="3"/>
  <c r="AL937" i="3"/>
  <c r="AL936" i="3"/>
  <c r="AL935" i="3"/>
  <c r="AL934" i="3"/>
  <c r="AL933" i="3"/>
  <c r="AL932" i="3"/>
  <c r="AL931" i="3"/>
  <c r="AL930" i="3"/>
  <c r="AL929" i="3"/>
  <c r="AL928" i="3"/>
  <c r="AL927" i="3"/>
  <c r="AL926" i="3"/>
  <c r="AL925" i="3"/>
  <c r="AL924" i="3"/>
  <c r="AL923" i="3"/>
  <c r="AL922" i="3"/>
  <c r="AL921" i="3"/>
  <c r="AL920" i="3"/>
  <c r="AL919" i="3"/>
  <c r="AL918" i="3"/>
  <c r="AL917" i="3"/>
  <c r="AL916" i="3"/>
  <c r="AL915" i="3"/>
  <c r="AL914" i="3"/>
  <c r="AL913" i="3"/>
  <c r="AL912" i="3"/>
  <c r="AL911" i="3"/>
  <c r="AL910" i="3"/>
  <c r="AL909" i="3"/>
  <c r="AL908" i="3"/>
  <c r="AL907" i="3"/>
  <c r="AL906" i="3"/>
  <c r="AL905" i="3"/>
  <c r="AL904" i="3"/>
  <c r="AL903" i="3"/>
  <c r="AL902" i="3"/>
  <c r="AL901" i="3"/>
  <c r="AL900" i="3"/>
  <c r="AL899" i="3"/>
  <c r="AL898" i="3"/>
  <c r="AL897" i="3"/>
  <c r="AL896" i="3"/>
  <c r="AL895" i="3"/>
  <c r="AL894" i="3"/>
  <c r="AL893" i="3"/>
  <c r="AL892" i="3"/>
  <c r="AL891" i="3"/>
  <c r="AL890" i="3"/>
  <c r="AL889" i="3"/>
  <c r="AL888" i="3"/>
  <c r="AL887" i="3"/>
  <c r="AL886" i="3"/>
  <c r="AL885" i="3"/>
  <c r="AL884" i="3"/>
  <c r="AL883" i="3"/>
  <c r="AL882" i="3"/>
  <c r="AL881" i="3"/>
  <c r="AL880" i="3"/>
  <c r="AL879" i="3"/>
  <c r="AL878" i="3"/>
  <c r="AL877" i="3"/>
  <c r="AL876" i="3"/>
  <c r="AL875" i="3"/>
  <c r="AL874" i="3"/>
  <c r="AL873" i="3"/>
  <c r="AL872" i="3"/>
  <c r="AL871" i="3"/>
  <c r="AL870" i="3"/>
  <c r="AL869" i="3"/>
  <c r="AL868" i="3"/>
  <c r="AL867" i="3"/>
  <c r="AL866" i="3"/>
  <c r="AL865" i="3"/>
  <c r="AL864" i="3"/>
  <c r="AL863" i="3"/>
  <c r="AL862" i="3"/>
  <c r="AL861" i="3"/>
  <c r="AL860" i="3"/>
  <c r="AL859" i="3"/>
  <c r="AL858" i="3"/>
  <c r="AL857" i="3"/>
  <c r="AL856" i="3"/>
  <c r="AL855" i="3"/>
  <c r="AL854" i="3"/>
  <c r="AL853" i="3"/>
  <c r="AL852" i="3"/>
  <c r="AL851" i="3"/>
  <c r="AL850" i="3"/>
  <c r="AL849" i="3"/>
  <c r="AL848" i="3"/>
  <c r="AL847" i="3"/>
  <c r="AL846" i="3"/>
  <c r="AL845" i="3"/>
  <c r="AL844" i="3"/>
  <c r="AL843" i="3"/>
  <c r="AL842" i="3"/>
  <c r="AL841" i="3"/>
  <c r="AL840" i="3"/>
  <c r="AL839" i="3"/>
  <c r="AL838" i="3"/>
  <c r="AL837" i="3"/>
  <c r="AL836" i="3"/>
  <c r="AL835" i="3"/>
  <c r="AL834" i="3"/>
  <c r="AL833" i="3"/>
  <c r="AL832" i="3"/>
  <c r="AL831" i="3"/>
  <c r="AL830" i="3"/>
  <c r="AL829" i="3"/>
  <c r="AL828" i="3"/>
  <c r="AL827" i="3"/>
  <c r="AL826" i="3"/>
  <c r="AL825" i="3"/>
  <c r="AL824" i="3"/>
  <c r="AL823" i="3"/>
  <c r="AL822" i="3"/>
  <c r="AL821" i="3"/>
  <c r="AL820" i="3"/>
  <c r="AL819" i="3"/>
  <c r="AL818" i="3"/>
  <c r="AL817" i="3"/>
  <c r="AL816" i="3"/>
  <c r="AL815" i="3"/>
  <c r="AL814" i="3"/>
  <c r="AL813" i="3"/>
  <c r="AL812" i="3"/>
  <c r="AL811" i="3"/>
  <c r="AL810" i="3"/>
  <c r="AL809" i="3"/>
  <c r="AL808" i="3"/>
  <c r="AL807" i="3"/>
  <c r="AL806" i="3"/>
  <c r="AL805" i="3"/>
  <c r="AL804" i="3"/>
  <c r="AL803" i="3"/>
  <c r="AL802" i="3"/>
  <c r="AL801" i="3"/>
  <c r="AL800" i="3"/>
  <c r="AL799" i="3"/>
  <c r="AL798" i="3"/>
  <c r="AL797" i="3"/>
  <c r="AL796" i="3"/>
  <c r="AL795" i="3"/>
  <c r="AL794" i="3"/>
  <c r="AL793" i="3"/>
  <c r="AL792" i="3"/>
  <c r="AL791" i="3"/>
  <c r="AL790" i="3"/>
  <c r="AL789" i="3"/>
  <c r="AL788" i="3"/>
  <c r="AL787" i="3"/>
  <c r="AL786" i="3"/>
  <c r="AL785" i="3"/>
  <c r="AL784" i="3"/>
  <c r="AL783" i="3"/>
  <c r="AL782" i="3"/>
  <c r="AL781" i="3"/>
  <c r="AL780" i="3"/>
  <c r="AL779" i="3"/>
  <c r="AL778" i="3"/>
  <c r="AL777" i="3"/>
  <c r="AL776" i="3"/>
  <c r="AL775" i="3"/>
  <c r="AL774" i="3"/>
  <c r="AL773" i="3"/>
  <c r="AL772" i="3"/>
  <c r="AL771" i="3"/>
  <c r="AL770" i="3"/>
  <c r="AL769" i="3"/>
  <c r="AL768" i="3"/>
  <c r="AL767" i="3"/>
  <c r="AL766" i="3"/>
  <c r="AL765" i="3"/>
  <c r="AL764" i="3"/>
  <c r="AL763" i="3"/>
  <c r="AL762" i="3"/>
  <c r="AL761" i="3"/>
  <c r="AL760" i="3"/>
  <c r="AL759" i="3"/>
  <c r="AL758" i="3"/>
  <c r="AL757" i="3"/>
  <c r="AL756" i="3"/>
  <c r="AL755" i="3"/>
  <c r="AL754" i="3"/>
  <c r="AL753" i="3"/>
  <c r="AL752" i="3"/>
  <c r="AL751" i="3"/>
  <c r="AL750" i="3"/>
  <c r="AL749" i="3"/>
  <c r="AL748" i="3"/>
  <c r="AL747" i="3"/>
  <c r="AL746" i="3"/>
  <c r="AL745" i="3"/>
  <c r="AL744" i="3"/>
  <c r="AL743" i="3"/>
  <c r="AL742" i="3"/>
  <c r="AL741" i="3"/>
  <c r="AL740" i="3"/>
  <c r="AL739" i="3"/>
  <c r="AL738" i="3"/>
  <c r="AL737" i="3"/>
  <c r="AL736" i="3"/>
  <c r="AL735" i="3"/>
  <c r="AL734" i="3"/>
  <c r="AL733" i="3"/>
  <c r="AL732" i="3"/>
  <c r="AL731" i="3"/>
  <c r="AL730" i="3"/>
  <c r="AL729" i="3"/>
  <c r="AL728" i="3"/>
  <c r="AL727" i="3"/>
  <c r="AL726" i="3"/>
  <c r="AL725" i="3"/>
  <c r="AL724" i="3"/>
  <c r="AL723" i="3"/>
  <c r="AL722" i="3"/>
  <c r="AL721" i="3"/>
  <c r="AL720" i="3"/>
  <c r="AL719" i="3"/>
  <c r="AL718" i="3"/>
  <c r="AL717" i="3"/>
  <c r="AL716" i="3"/>
  <c r="AL715" i="3"/>
  <c r="AL714" i="3"/>
  <c r="AL713" i="3"/>
  <c r="AL712" i="3"/>
  <c r="AL711" i="3"/>
  <c r="AL710" i="3"/>
  <c r="AL709" i="3"/>
  <c r="AL708" i="3"/>
  <c r="AL707" i="3"/>
  <c r="AL706" i="3"/>
  <c r="AL705" i="3"/>
  <c r="AL704" i="3"/>
  <c r="AL703" i="3"/>
  <c r="AL702" i="3"/>
  <c r="AL701" i="3"/>
  <c r="AL700" i="3"/>
  <c r="AL699" i="3"/>
  <c r="AL698" i="3"/>
  <c r="AL697" i="3"/>
  <c r="AL696" i="3"/>
  <c r="AL695" i="3"/>
  <c r="AL694" i="3"/>
  <c r="AL693" i="3"/>
  <c r="AL692" i="3"/>
  <c r="AL691" i="3"/>
  <c r="AL690" i="3"/>
  <c r="AL689" i="3"/>
  <c r="AL688" i="3"/>
  <c r="AL687" i="3"/>
  <c r="AL686" i="3"/>
  <c r="AL685" i="3"/>
  <c r="AL684" i="3"/>
  <c r="AL683" i="3"/>
  <c r="AL682" i="3"/>
  <c r="AL681" i="3"/>
  <c r="AL680" i="3"/>
  <c r="AL679" i="3"/>
  <c r="AL678" i="3"/>
  <c r="AL677" i="3"/>
  <c r="AL676" i="3"/>
  <c r="AL675" i="3"/>
  <c r="AL674" i="3"/>
  <c r="AL673" i="3"/>
  <c r="AL672" i="3"/>
  <c r="AL671" i="3"/>
  <c r="AL670" i="3"/>
  <c r="AL669" i="3"/>
  <c r="AL668" i="3"/>
  <c r="AL667" i="3"/>
  <c r="AL666" i="3"/>
  <c r="AL665" i="3"/>
  <c r="AL664" i="3"/>
  <c r="AL663" i="3"/>
  <c r="AL662" i="3"/>
  <c r="AL661" i="3"/>
  <c r="AL660" i="3"/>
  <c r="AL659" i="3"/>
  <c r="AL658" i="3"/>
  <c r="AL657" i="3"/>
  <c r="AL656" i="3"/>
  <c r="AL655" i="3"/>
  <c r="AL654" i="3"/>
  <c r="AL653" i="3"/>
  <c r="AL652" i="3"/>
  <c r="AL651" i="3"/>
  <c r="AL650" i="3"/>
  <c r="AL649" i="3"/>
  <c r="AL648" i="3"/>
  <c r="AL647" i="3"/>
  <c r="AL646" i="3"/>
  <c r="AL645" i="3"/>
  <c r="AL644" i="3"/>
  <c r="AL643" i="3"/>
  <c r="AL642" i="3"/>
  <c r="AL641" i="3"/>
  <c r="AL640" i="3"/>
  <c r="AL639" i="3"/>
  <c r="AL638" i="3"/>
  <c r="AL637" i="3"/>
  <c r="AL636" i="3"/>
  <c r="AL635" i="3"/>
  <c r="AL634" i="3"/>
  <c r="AL633" i="3"/>
  <c r="AL632" i="3"/>
  <c r="AL631" i="3"/>
  <c r="AL630" i="3"/>
  <c r="AL629" i="3"/>
  <c r="AL628" i="3"/>
  <c r="AL627" i="3"/>
  <c r="AL626" i="3"/>
  <c r="AL625" i="3"/>
  <c r="AL624" i="3"/>
  <c r="AL623" i="3"/>
  <c r="AL622" i="3"/>
  <c r="AL621" i="3"/>
  <c r="AL620" i="3"/>
  <c r="AL619" i="3"/>
  <c r="AL618" i="3"/>
  <c r="AL617" i="3"/>
  <c r="AL616" i="3"/>
  <c r="AL615" i="3"/>
  <c r="AL614" i="3"/>
  <c r="AL613" i="3"/>
  <c r="AL612" i="3"/>
  <c r="AL611" i="3"/>
  <c r="AL610" i="3"/>
  <c r="AL609" i="3"/>
  <c r="AL608" i="3"/>
  <c r="AL607" i="3"/>
  <c r="AL606" i="3"/>
  <c r="AL605" i="3"/>
  <c r="AL604" i="3"/>
  <c r="AL603" i="3"/>
  <c r="AL602" i="3"/>
  <c r="AL601" i="3"/>
  <c r="AL600" i="3"/>
  <c r="AL599" i="3"/>
  <c r="AL598" i="3"/>
  <c r="AL597" i="3"/>
  <c r="AL596" i="3"/>
  <c r="AL595" i="3"/>
  <c r="AL594" i="3"/>
  <c r="AL593" i="3"/>
  <c r="AL592" i="3"/>
  <c r="AL591" i="3"/>
  <c r="AL590" i="3"/>
  <c r="AL589" i="3"/>
  <c r="AL588" i="3"/>
  <c r="AL587" i="3"/>
  <c r="AL586" i="3"/>
  <c r="AL585" i="3"/>
  <c r="AL584" i="3"/>
  <c r="AL583" i="3"/>
  <c r="AL582" i="3"/>
  <c r="AL581" i="3"/>
  <c r="AL580" i="3"/>
  <c r="AL579" i="3"/>
  <c r="AL578" i="3"/>
  <c r="AL577" i="3"/>
  <c r="AL576" i="3"/>
  <c r="AL575" i="3"/>
  <c r="AL574" i="3"/>
  <c r="AL573" i="3"/>
  <c r="AL572" i="3"/>
  <c r="AL571" i="3"/>
  <c r="AL570" i="3"/>
  <c r="AL569" i="3"/>
  <c r="AL568" i="3"/>
  <c r="AL567" i="3"/>
  <c r="AL566" i="3"/>
  <c r="AL565" i="3"/>
  <c r="AL564" i="3"/>
  <c r="AL563" i="3"/>
  <c r="AL562" i="3"/>
  <c r="AL561" i="3"/>
  <c r="AL560" i="3"/>
  <c r="AL559" i="3"/>
  <c r="AL558" i="3"/>
  <c r="AL557" i="3"/>
  <c r="AL556" i="3"/>
  <c r="AL555" i="3"/>
  <c r="AL554" i="3"/>
  <c r="AL553" i="3"/>
  <c r="AL552" i="3"/>
  <c r="AL551" i="3"/>
  <c r="AL550" i="3"/>
  <c r="AL549" i="3"/>
  <c r="AL548" i="3"/>
  <c r="AL547" i="3"/>
  <c r="AL546" i="3"/>
  <c r="AL545" i="3"/>
  <c r="AL544" i="3"/>
  <c r="AL543" i="3"/>
  <c r="AL542" i="3"/>
  <c r="AL541" i="3"/>
  <c r="AL540" i="3"/>
  <c r="AL539" i="3"/>
  <c r="AL538" i="3"/>
  <c r="AL537" i="3"/>
  <c r="AL536" i="3"/>
  <c r="AL535" i="3"/>
  <c r="AL534" i="3"/>
  <c r="AL533" i="3"/>
  <c r="AL532" i="3"/>
  <c r="AL531" i="3"/>
  <c r="AL530" i="3"/>
  <c r="AL529" i="3"/>
  <c r="AL528" i="3"/>
  <c r="AL527" i="3"/>
  <c r="AL526" i="3"/>
  <c r="AL525" i="3"/>
  <c r="AL524" i="3"/>
  <c r="AL523" i="3"/>
  <c r="AL522" i="3"/>
  <c r="AL521" i="3"/>
  <c r="AL520" i="3"/>
  <c r="AL519" i="3"/>
  <c r="AL518" i="3"/>
  <c r="AL517" i="3"/>
  <c r="AL516" i="3"/>
  <c r="AL515" i="3"/>
  <c r="AL514" i="3"/>
  <c r="AL513" i="3"/>
  <c r="AL512" i="3"/>
  <c r="AL511" i="3"/>
  <c r="AL510" i="3"/>
  <c r="AL509" i="3"/>
  <c r="AL508" i="3"/>
  <c r="AL507" i="3"/>
  <c r="AL506" i="3"/>
  <c r="AL505" i="3"/>
  <c r="AL504" i="3"/>
  <c r="AL503" i="3"/>
  <c r="AL502" i="3"/>
  <c r="AL501" i="3"/>
  <c r="AL500" i="3"/>
  <c r="AL499" i="3"/>
  <c r="AL498" i="3"/>
  <c r="AL497" i="3"/>
  <c r="AL496" i="3"/>
  <c r="AL495" i="3"/>
  <c r="AL494" i="3"/>
  <c r="AL493" i="3"/>
  <c r="AL492" i="3"/>
  <c r="AL491" i="3"/>
  <c r="AL490" i="3"/>
  <c r="AL489" i="3"/>
  <c r="AL488" i="3"/>
  <c r="AL487" i="3"/>
  <c r="AL486" i="3"/>
  <c r="AL485" i="3"/>
  <c r="AL484" i="3"/>
  <c r="AL483" i="3"/>
  <c r="AL482" i="3"/>
  <c r="AL481" i="3"/>
  <c r="AL480" i="3"/>
  <c r="AL479" i="3"/>
  <c r="AL478" i="3"/>
  <c r="AL477" i="3"/>
  <c r="AL476" i="3"/>
  <c r="AL475" i="3"/>
  <c r="AL474" i="3"/>
  <c r="AL473" i="3"/>
  <c r="AL472" i="3"/>
  <c r="AL471" i="3"/>
  <c r="AL470" i="3"/>
  <c r="AL469" i="3"/>
  <c r="AL468" i="3"/>
  <c r="AL467" i="3"/>
  <c r="AL466" i="3"/>
  <c r="AL465" i="3"/>
  <c r="AL464" i="3"/>
  <c r="AL463" i="3"/>
  <c r="AL462" i="3"/>
  <c r="AL461" i="3"/>
  <c r="AL460" i="3"/>
  <c r="AL459" i="3"/>
  <c r="AL458" i="3"/>
  <c r="AL457" i="3"/>
  <c r="AL456" i="3"/>
  <c r="AL455" i="3"/>
  <c r="AL454" i="3"/>
  <c r="AL453" i="3"/>
  <c r="AL452" i="3"/>
  <c r="AL451" i="3"/>
  <c r="AL450" i="3"/>
  <c r="AL449" i="3"/>
  <c r="AL448" i="3"/>
  <c r="AL447" i="3"/>
  <c r="AL446" i="3"/>
  <c r="AL445" i="3"/>
  <c r="AL444" i="3"/>
  <c r="AL443" i="3"/>
  <c r="AL442" i="3"/>
  <c r="AL441" i="3"/>
  <c r="AL440" i="3"/>
  <c r="AL439" i="3"/>
  <c r="AL438" i="3"/>
  <c r="AL437" i="3"/>
  <c r="AL436" i="3"/>
  <c r="AL435" i="3"/>
  <c r="AL434" i="3"/>
  <c r="AL433" i="3"/>
  <c r="AL432" i="3"/>
  <c r="AL431" i="3"/>
  <c r="AL430" i="3"/>
  <c r="AL429" i="3"/>
  <c r="AL428" i="3"/>
  <c r="AL427" i="3"/>
  <c r="AL426" i="3"/>
  <c r="AL425" i="3"/>
  <c r="AL424" i="3"/>
  <c r="AL423" i="3"/>
  <c r="AL422" i="3"/>
  <c r="AL421" i="3"/>
  <c r="AL420" i="3"/>
  <c r="AL419" i="3"/>
  <c r="AL418" i="3"/>
  <c r="AL417" i="3"/>
  <c r="AL416" i="3"/>
  <c r="AL415" i="3"/>
  <c r="AL414" i="3"/>
  <c r="AL413" i="3"/>
  <c r="AL412" i="3"/>
  <c r="AL411" i="3"/>
  <c r="AL410" i="3"/>
  <c r="AL409" i="3"/>
  <c r="AL408" i="3"/>
  <c r="AL407" i="3"/>
  <c r="AL406" i="3"/>
  <c r="AL405" i="3"/>
  <c r="AL404" i="3"/>
  <c r="AL403" i="3"/>
  <c r="AL402" i="3"/>
  <c r="AL401" i="3"/>
  <c r="AL400" i="3"/>
  <c r="AL399" i="3"/>
  <c r="AL398" i="3"/>
  <c r="AL397" i="3"/>
  <c r="AL396" i="3"/>
  <c r="AL395" i="3"/>
  <c r="AL394" i="3"/>
  <c r="AL393" i="3"/>
  <c r="AL392" i="3"/>
  <c r="AL391" i="3"/>
  <c r="AL390" i="3"/>
  <c r="AL389" i="3"/>
  <c r="AL388" i="3"/>
  <c r="AL387" i="3"/>
  <c r="AL386" i="3"/>
  <c r="AL385" i="3"/>
  <c r="AL384" i="3"/>
  <c r="AL383" i="3"/>
  <c r="AL382" i="3"/>
  <c r="AL381" i="3"/>
  <c r="AL380" i="3"/>
  <c r="AL379" i="3"/>
  <c r="AL378" i="3"/>
  <c r="AL377" i="3"/>
  <c r="AL376" i="3"/>
  <c r="AL375" i="3"/>
  <c r="AL374" i="3"/>
  <c r="AL373" i="3"/>
  <c r="AL372" i="3"/>
  <c r="AL371" i="3"/>
  <c r="AL370" i="3"/>
  <c r="AL369" i="3"/>
  <c r="AL368" i="3"/>
  <c r="AL367" i="3"/>
  <c r="AL366" i="3"/>
  <c r="AL365" i="3"/>
  <c r="AL364" i="3"/>
  <c r="AL363" i="3"/>
  <c r="AL362" i="3"/>
  <c r="AL361" i="3"/>
  <c r="AL360" i="3"/>
  <c r="AL359" i="3"/>
  <c r="AL358" i="3"/>
  <c r="AL357" i="3"/>
  <c r="AL356" i="3"/>
  <c r="AL355" i="3"/>
  <c r="AL354" i="3"/>
  <c r="AL353" i="3"/>
  <c r="AL352" i="3"/>
  <c r="AL351" i="3"/>
  <c r="AL350" i="3"/>
  <c r="AL349" i="3"/>
  <c r="AL348" i="3"/>
  <c r="AL347" i="3"/>
  <c r="AL346" i="3"/>
  <c r="AL345" i="3"/>
  <c r="AL344" i="3"/>
  <c r="AL343" i="3"/>
  <c r="AL342" i="3"/>
  <c r="AL341" i="3"/>
  <c r="AL340" i="3"/>
  <c r="AL339" i="3"/>
  <c r="AL338" i="3"/>
  <c r="AL337" i="3"/>
  <c r="AL336" i="3"/>
  <c r="AL335" i="3"/>
  <c r="AL334" i="3"/>
  <c r="AL333" i="3"/>
  <c r="AL332" i="3"/>
  <c r="AL331" i="3"/>
  <c r="AL330" i="3"/>
  <c r="AL329" i="3"/>
  <c r="AL328" i="3"/>
  <c r="AL327" i="3"/>
  <c r="AL326" i="3"/>
  <c r="AL325" i="3"/>
  <c r="AL324" i="3"/>
  <c r="AL323" i="3"/>
  <c r="AL322" i="3"/>
  <c r="AL321" i="3"/>
  <c r="AL320" i="3"/>
  <c r="AL319" i="3"/>
  <c r="AL318" i="3"/>
  <c r="AL317" i="3"/>
  <c r="AL316" i="3"/>
  <c r="AL315" i="3"/>
  <c r="AL314" i="3"/>
  <c r="AL313" i="3"/>
  <c r="AL312" i="3"/>
  <c r="AL311" i="3"/>
  <c r="AL310" i="3"/>
  <c r="AL309" i="3"/>
  <c r="AL308" i="3"/>
  <c r="AL307" i="3"/>
  <c r="AL306" i="3"/>
  <c r="AL305" i="3"/>
  <c r="AL304" i="3"/>
  <c r="AL303" i="3"/>
  <c r="AL302" i="3"/>
  <c r="AL301" i="3"/>
  <c r="AL300" i="3"/>
  <c r="AL299" i="3"/>
  <c r="AL298" i="3"/>
  <c r="AL297" i="3"/>
  <c r="AL296" i="3"/>
  <c r="AL295" i="3"/>
  <c r="AL294" i="3"/>
  <c r="AL293" i="3"/>
  <c r="AL292" i="3"/>
  <c r="AL291" i="3"/>
  <c r="AL290" i="3"/>
  <c r="AL289" i="3"/>
  <c r="AL288" i="3"/>
  <c r="AL287" i="3"/>
  <c r="AL286" i="3"/>
  <c r="AL285" i="3"/>
  <c r="AL284" i="3"/>
  <c r="AL283" i="3"/>
  <c r="AL282" i="3"/>
  <c r="AL281" i="3"/>
  <c r="AL280" i="3"/>
  <c r="AL279" i="3"/>
  <c r="AL278" i="3"/>
  <c r="AL277" i="3"/>
  <c r="AL276" i="3"/>
  <c r="AL275" i="3"/>
  <c r="AL274" i="3"/>
  <c r="AL273" i="3"/>
  <c r="AL272" i="3"/>
  <c r="AL271" i="3"/>
  <c r="AL270" i="3"/>
  <c r="AL269" i="3"/>
  <c r="AL268" i="3"/>
  <c r="AL267" i="3"/>
  <c r="AL266" i="3"/>
  <c r="AL265" i="3"/>
  <c r="AL264" i="3"/>
  <c r="AL263" i="3"/>
  <c r="AL262" i="3"/>
  <c r="AL261" i="3"/>
  <c r="AL260" i="3"/>
  <c r="AL259" i="3"/>
  <c r="AL258" i="3"/>
  <c r="AL257" i="3"/>
  <c r="AL256" i="3"/>
  <c r="AL255" i="3"/>
  <c r="AL254" i="3"/>
  <c r="AL253" i="3"/>
  <c r="AL252" i="3"/>
  <c r="AL251" i="3"/>
  <c r="AL250" i="3"/>
  <c r="AL249" i="3"/>
  <c r="AL248" i="3"/>
  <c r="AL247" i="3"/>
  <c r="AL246" i="3"/>
  <c r="AL245" i="3"/>
  <c r="AL244" i="3"/>
  <c r="AL243" i="3"/>
  <c r="AL242" i="3"/>
  <c r="AL241" i="3"/>
  <c r="AL240" i="3"/>
  <c r="AL239" i="3"/>
  <c r="AL238" i="3"/>
  <c r="AL237" i="3"/>
  <c r="AL236" i="3"/>
  <c r="AL235" i="3"/>
  <c r="AL234" i="3"/>
  <c r="AL233" i="3"/>
  <c r="AL232" i="3"/>
  <c r="AL231" i="3"/>
  <c r="AL230" i="3"/>
  <c r="AL229" i="3"/>
  <c r="AL228" i="3"/>
  <c r="AL227" i="3"/>
  <c r="AL226" i="3"/>
  <c r="AL225" i="3"/>
  <c r="AL224" i="3"/>
  <c r="AL223" i="3"/>
  <c r="AL222" i="3"/>
  <c r="AL221" i="3"/>
  <c r="AL220" i="3"/>
  <c r="AL219" i="3"/>
  <c r="AL218" i="3"/>
  <c r="AL217" i="3"/>
  <c r="AL216" i="3"/>
  <c r="AL215" i="3"/>
  <c r="AL214" i="3"/>
  <c r="AL213" i="3"/>
  <c r="AL212" i="3"/>
  <c r="AL211" i="3"/>
  <c r="AL210" i="3"/>
  <c r="AL209" i="3"/>
  <c r="AL208" i="3"/>
  <c r="AL207" i="3"/>
  <c r="AL206" i="3"/>
  <c r="AL205" i="3"/>
  <c r="AL204" i="3"/>
  <c r="AL203" i="3"/>
  <c r="AL202" i="3"/>
  <c r="AL201" i="3"/>
  <c r="AL200" i="3"/>
  <c r="AL199" i="3"/>
  <c r="AL198" i="3"/>
  <c r="AL197" i="3"/>
  <c r="AL196" i="3"/>
  <c r="AL195" i="3"/>
  <c r="AL194" i="3"/>
  <c r="AL193" i="3"/>
  <c r="AL192" i="3"/>
  <c r="AL191" i="3"/>
  <c r="AL190" i="3"/>
  <c r="AL189" i="3"/>
  <c r="AL188" i="3"/>
  <c r="AL187" i="3"/>
  <c r="AL186" i="3"/>
  <c r="AL185" i="3"/>
  <c r="AL184" i="3"/>
  <c r="AL183" i="3"/>
  <c r="AL182" i="3"/>
  <c r="AL181" i="3"/>
  <c r="AL180" i="3"/>
  <c r="AL179" i="3"/>
  <c r="AL178" i="3"/>
  <c r="AL177" i="3"/>
  <c r="AL176" i="3"/>
  <c r="AL175" i="3"/>
  <c r="AL174" i="3"/>
  <c r="AL173" i="3"/>
  <c r="AL172" i="3"/>
  <c r="AL171" i="3"/>
  <c r="AL170" i="3"/>
  <c r="AL169" i="3"/>
  <c r="AL168" i="3"/>
  <c r="AL167" i="3"/>
  <c r="AL166" i="3"/>
  <c r="AL165" i="3"/>
  <c r="AL164" i="3"/>
  <c r="AL163" i="3"/>
  <c r="AL162" i="3"/>
  <c r="AL161" i="3"/>
  <c r="AL160" i="3"/>
  <c r="AL159" i="3"/>
  <c r="AL158" i="3"/>
  <c r="AL157" i="3"/>
  <c r="AL156" i="3"/>
  <c r="AL155" i="3"/>
  <c r="AL154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36" i="3"/>
  <c r="AL135" i="3"/>
  <c r="AL134" i="3"/>
  <c r="AL133" i="3"/>
  <c r="AL132" i="3"/>
  <c r="AL131" i="3"/>
  <c r="AL130" i="3"/>
  <c r="AL129" i="3"/>
  <c r="AL128" i="3"/>
  <c r="AL127" i="3"/>
  <c r="AL126" i="3"/>
  <c r="AL125" i="3"/>
  <c r="AL124" i="3"/>
  <c r="AL123" i="3"/>
  <c r="AL122" i="3"/>
  <c r="AL121" i="3"/>
  <c r="AL120" i="3"/>
  <c r="AL119" i="3"/>
  <c r="AL118" i="3"/>
  <c r="AL117" i="3"/>
  <c r="AL116" i="3"/>
  <c r="AL115" i="3"/>
  <c r="AL114" i="3"/>
  <c r="AL113" i="3"/>
  <c r="AL112" i="3"/>
  <c r="AL111" i="3"/>
  <c r="AL110" i="3"/>
  <c r="AL109" i="3"/>
  <c r="AL108" i="3"/>
  <c r="AL107" i="3"/>
  <c r="AL106" i="3"/>
  <c r="AL105" i="3"/>
  <c r="AL104" i="3"/>
  <c r="AL103" i="3"/>
  <c r="AL102" i="3"/>
  <c r="AL101" i="3"/>
  <c r="AL100" i="3"/>
  <c r="AL99" i="3"/>
  <c r="AL98" i="3"/>
  <c r="AL97" i="3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AL83" i="3"/>
  <c r="AL82" i="3"/>
  <c r="AL81" i="3"/>
  <c r="AL80" i="3"/>
  <c r="AL79" i="3"/>
  <c r="AL78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K1471" i="3"/>
  <c r="AK1470" i="3"/>
  <c r="AK1469" i="3"/>
  <c r="AK1468" i="3"/>
  <c r="AK1467" i="3"/>
  <c r="AK1466" i="3"/>
  <c r="AK1465" i="3"/>
  <c r="AK1464" i="3"/>
  <c r="AK1463" i="3"/>
  <c r="AK1462" i="3"/>
  <c r="AK1461" i="3"/>
  <c r="AK1460" i="3"/>
  <c r="AK1459" i="3"/>
  <c r="AK1458" i="3"/>
  <c r="AK1457" i="3"/>
  <c r="AK1456" i="3"/>
  <c r="AK1455" i="3"/>
  <c r="AK1454" i="3"/>
  <c r="AK1453" i="3"/>
  <c r="AK1452" i="3"/>
  <c r="AK1451" i="3"/>
  <c r="AK1450" i="3"/>
  <c r="AK1449" i="3"/>
  <c r="AK1448" i="3"/>
  <c r="AK1447" i="3"/>
  <c r="AK1446" i="3"/>
  <c r="AK1445" i="3"/>
  <c r="AK1444" i="3"/>
  <c r="AK1443" i="3"/>
  <c r="AK1442" i="3"/>
  <c r="AK1441" i="3"/>
  <c r="AK1440" i="3"/>
  <c r="AK1439" i="3"/>
  <c r="AK1438" i="3"/>
  <c r="AK1437" i="3"/>
  <c r="AK1436" i="3"/>
  <c r="AK1435" i="3"/>
  <c r="AK1434" i="3"/>
  <c r="AK1433" i="3"/>
  <c r="AK1432" i="3"/>
  <c r="AK1431" i="3"/>
  <c r="AK1430" i="3"/>
  <c r="AK1429" i="3"/>
  <c r="AK1428" i="3"/>
  <c r="AK1427" i="3"/>
  <c r="AK1426" i="3"/>
  <c r="AK1425" i="3"/>
  <c r="AK1424" i="3"/>
  <c r="AK1423" i="3"/>
  <c r="AK1422" i="3"/>
  <c r="AK1421" i="3"/>
  <c r="AK1420" i="3"/>
  <c r="AK1419" i="3"/>
  <c r="AK1418" i="3"/>
  <c r="AK1417" i="3"/>
  <c r="AK1416" i="3"/>
  <c r="AK1415" i="3"/>
  <c r="AK1414" i="3"/>
  <c r="AK1413" i="3"/>
  <c r="AK1412" i="3"/>
  <c r="AK1411" i="3"/>
  <c r="AK1410" i="3"/>
  <c r="AK1409" i="3"/>
  <c r="AK1408" i="3"/>
  <c r="AK1407" i="3"/>
  <c r="AK1406" i="3"/>
  <c r="AK1405" i="3"/>
  <c r="AK1404" i="3"/>
  <c r="AK1403" i="3"/>
  <c r="AK1402" i="3"/>
  <c r="AK1401" i="3"/>
  <c r="AK1400" i="3"/>
  <c r="AK1399" i="3"/>
  <c r="AK1398" i="3"/>
  <c r="AK1397" i="3"/>
  <c r="AK1396" i="3"/>
  <c r="AK1395" i="3"/>
  <c r="AK1394" i="3"/>
  <c r="AK1393" i="3"/>
  <c r="AK1392" i="3"/>
  <c r="AK1391" i="3"/>
  <c r="AK1390" i="3"/>
  <c r="AK1389" i="3"/>
  <c r="AK1388" i="3"/>
  <c r="AK1387" i="3"/>
  <c r="AK1386" i="3"/>
  <c r="AK1385" i="3"/>
  <c r="AK1384" i="3"/>
  <c r="AK1383" i="3"/>
  <c r="AK1382" i="3"/>
  <c r="AK1381" i="3"/>
  <c r="AK1380" i="3"/>
  <c r="AK1379" i="3"/>
  <c r="AK1378" i="3"/>
  <c r="AK1377" i="3"/>
  <c r="AK1376" i="3"/>
  <c r="AK1375" i="3"/>
  <c r="AK1374" i="3"/>
  <c r="AK1373" i="3"/>
  <c r="AK1372" i="3"/>
  <c r="AK1371" i="3"/>
  <c r="AK1370" i="3"/>
  <c r="AK1369" i="3"/>
  <c r="AK1368" i="3"/>
  <c r="AK1367" i="3"/>
  <c r="AK1366" i="3"/>
  <c r="AK1365" i="3"/>
  <c r="AK1364" i="3"/>
  <c r="AK1363" i="3"/>
  <c r="AK1362" i="3"/>
  <c r="AK1361" i="3"/>
  <c r="AK1360" i="3"/>
  <c r="AK1359" i="3"/>
  <c r="AK1358" i="3"/>
  <c r="AK1357" i="3"/>
  <c r="AK1356" i="3"/>
  <c r="AK1355" i="3"/>
  <c r="AK1354" i="3"/>
  <c r="AK1353" i="3"/>
  <c r="AK1352" i="3"/>
  <c r="AK1351" i="3"/>
  <c r="AK1350" i="3"/>
  <c r="AK1349" i="3"/>
  <c r="AK1348" i="3"/>
  <c r="AK1347" i="3"/>
  <c r="AK1346" i="3"/>
  <c r="AK1345" i="3"/>
  <c r="AK1344" i="3"/>
  <c r="AK1343" i="3"/>
  <c r="AK1342" i="3"/>
  <c r="AK1341" i="3"/>
  <c r="AK1340" i="3"/>
  <c r="AK1339" i="3"/>
  <c r="AK1338" i="3"/>
  <c r="AK1337" i="3"/>
  <c r="AK1336" i="3"/>
  <c r="AK1335" i="3"/>
  <c r="AK1334" i="3"/>
  <c r="AK1333" i="3"/>
  <c r="AK1332" i="3"/>
  <c r="AK1331" i="3"/>
  <c r="AK1330" i="3"/>
  <c r="AK1329" i="3"/>
  <c r="AK1328" i="3"/>
  <c r="AK1327" i="3"/>
  <c r="AK1326" i="3"/>
  <c r="AK1325" i="3"/>
  <c r="AK1324" i="3"/>
  <c r="AK1323" i="3"/>
  <c r="AK1322" i="3"/>
  <c r="AK1321" i="3"/>
  <c r="AK1320" i="3"/>
  <c r="AK1319" i="3"/>
  <c r="AK1318" i="3"/>
  <c r="AK1317" i="3"/>
  <c r="AK1316" i="3"/>
  <c r="AK1315" i="3"/>
  <c r="AK1314" i="3"/>
  <c r="AK1313" i="3"/>
  <c r="AK1312" i="3"/>
  <c r="AK1311" i="3"/>
  <c r="AK1310" i="3"/>
  <c r="AK1309" i="3"/>
  <c r="AK1308" i="3"/>
  <c r="AK1307" i="3"/>
  <c r="AK1306" i="3"/>
  <c r="AK1305" i="3"/>
  <c r="AK1304" i="3"/>
  <c r="AK1303" i="3"/>
  <c r="AK1302" i="3"/>
  <c r="AK1301" i="3"/>
  <c r="AK1300" i="3"/>
  <c r="AK1299" i="3"/>
  <c r="AK1298" i="3"/>
  <c r="AK1297" i="3"/>
  <c r="AK1296" i="3"/>
  <c r="AK1295" i="3"/>
  <c r="AK1294" i="3"/>
  <c r="AK1293" i="3"/>
  <c r="AK1292" i="3"/>
  <c r="AK1291" i="3"/>
  <c r="AK1290" i="3"/>
  <c r="AK1289" i="3"/>
  <c r="AK1288" i="3"/>
  <c r="AK1287" i="3"/>
  <c r="AK1286" i="3"/>
  <c r="AK1285" i="3"/>
  <c r="AK1284" i="3"/>
  <c r="AK1283" i="3"/>
  <c r="AK1282" i="3"/>
  <c r="AK1281" i="3"/>
  <c r="AK1280" i="3"/>
  <c r="AK1279" i="3"/>
  <c r="AK1278" i="3"/>
  <c r="AK1277" i="3"/>
  <c r="AK1276" i="3"/>
  <c r="AK1275" i="3"/>
  <c r="AK1274" i="3"/>
  <c r="AK1273" i="3"/>
  <c r="AK1272" i="3"/>
  <c r="AK1271" i="3"/>
  <c r="AK1270" i="3"/>
  <c r="AK1269" i="3"/>
  <c r="AK1268" i="3"/>
  <c r="AK1267" i="3"/>
  <c r="AK1266" i="3"/>
  <c r="AK1265" i="3"/>
  <c r="AK1264" i="3"/>
  <c r="AK1263" i="3"/>
  <c r="AK1262" i="3"/>
  <c r="AK1261" i="3"/>
  <c r="AK1260" i="3"/>
  <c r="AK1259" i="3"/>
  <c r="AK1258" i="3"/>
  <c r="AK1257" i="3"/>
  <c r="AK1256" i="3"/>
  <c r="AK1255" i="3"/>
  <c r="AK1254" i="3"/>
  <c r="AK1253" i="3"/>
  <c r="AK1252" i="3"/>
  <c r="AK1251" i="3"/>
  <c r="AK1250" i="3"/>
  <c r="AK1249" i="3"/>
  <c r="AK1248" i="3"/>
  <c r="AK1247" i="3"/>
  <c r="AK1246" i="3"/>
  <c r="AK1245" i="3"/>
  <c r="AK1244" i="3"/>
  <c r="AK1243" i="3"/>
  <c r="AK1242" i="3"/>
  <c r="AK1241" i="3"/>
  <c r="AK1240" i="3"/>
  <c r="AK1239" i="3"/>
  <c r="AK1238" i="3"/>
  <c r="AK1237" i="3"/>
  <c r="AK1236" i="3"/>
  <c r="AK1235" i="3"/>
  <c r="AK1234" i="3"/>
  <c r="AK1233" i="3"/>
  <c r="AK1232" i="3"/>
  <c r="AK1231" i="3"/>
  <c r="AK1230" i="3"/>
  <c r="AK1229" i="3"/>
  <c r="AK1228" i="3"/>
  <c r="AK1227" i="3"/>
  <c r="AK1226" i="3"/>
  <c r="AK1225" i="3"/>
  <c r="AK1224" i="3"/>
  <c r="AK1223" i="3"/>
  <c r="AK1222" i="3"/>
  <c r="AK1221" i="3"/>
  <c r="AK1220" i="3"/>
  <c r="AK1219" i="3"/>
  <c r="AK1218" i="3"/>
  <c r="AK1217" i="3"/>
  <c r="AK1216" i="3"/>
  <c r="AK1215" i="3"/>
  <c r="AK1214" i="3"/>
  <c r="AK1213" i="3"/>
  <c r="AK1212" i="3"/>
  <c r="AK1211" i="3"/>
  <c r="AK1210" i="3"/>
  <c r="AK1209" i="3"/>
  <c r="AK1208" i="3"/>
  <c r="AK1207" i="3"/>
  <c r="AK1206" i="3"/>
  <c r="AK1205" i="3"/>
  <c r="AK1204" i="3"/>
  <c r="AK1203" i="3"/>
  <c r="AK1202" i="3"/>
  <c r="AK1201" i="3"/>
  <c r="AK1200" i="3"/>
  <c r="AK1199" i="3"/>
  <c r="AK1198" i="3"/>
  <c r="AK1197" i="3"/>
  <c r="AK1196" i="3"/>
  <c r="AK1195" i="3"/>
  <c r="AK1194" i="3"/>
  <c r="AK1193" i="3"/>
  <c r="AK1192" i="3"/>
  <c r="AK1191" i="3"/>
  <c r="AK1190" i="3"/>
  <c r="AK1189" i="3"/>
  <c r="AK1188" i="3"/>
  <c r="AK1187" i="3"/>
  <c r="AK1186" i="3"/>
  <c r="AK1185" i="3"/>
  <c r="AK1184" i="3"/>
  <c r="AK1183" i="3"/>
  <c r="AK1182" i="3"/>
  <c r="AK1181" i="3"/>
  <c r="AK1180" i="3"/>
  <c r="AK1179" i="3"/>
  <c r="AK1178" i="3"/>
  <c r="AK1177" i="3"/>
  <c r="AK1176" i="3"/>
  <c r="AK1175" i="3"/>
  <c r="AK1174" i="3"/>
  <c r="AK1173" i="3"/>
  <c r="AK1172" i="3"/>
  <c r="AK1171" i="3"/>
  <c r="AK1170" i="3"/>
  <c r="AK1169" i="3"/>
  <c r="AK1168" i="3"/>
  <c r="AK1167" i="3"/>
  <c r="AK1166" i="3"/>
  <c r="AK1165" i="3"/>
  <c r="AK1164" i="3"/>
  <c r="AK1163" i="3"/>
  <c r="AK1162" i="3"/>
  <c r="AK1161" i="3"/>
  <c r="AK1160" i="3"/>
  <c r="AK1159" i="3"/>
  <c r="AK1158" i="3"/>
  <c r="AK1157" i="3"/>
  <c r="AK1156" i="3"/>
  <c r="AK1155" i="3"/>
  <c r="AK1154" i="3"/>
  <c r="AK1153" i="3"/>
  <c r="AK1152" i="3"/>
  <c r="AK1151" i="3"/>
  <c r="AK1150" i="3"/>
  <c r="AK1149" i="3"/>
  <c r="AK1148" i="3"/>
  <c r="AK1147" i="3"/>
  <c r="AK1146" i="3"/>
  <c r="AK1145" i="3"/>
  <c r="AK1144" i="3"/>
  <c r="AK1143" i="3"/>
  <c r="AK1142" i="3"/>
  <c r="AK1141" i="3"/>
  <c r="AK1140" i="3"/>
  <c r="AK1139" i="3"/>
  <c r="AK1138" i="3"/>
  <c r="AK1137" i="3"/>
  <c r="AK1136" i="3"/>
  <c r="AK1135" i="3"/>
  <c r="AK1134" i="3"/>
  <c r="AK1133" i="3"/>
  <c r="AK1132" i="3"/>
  <c r="AK1131" i="3"/>
  <c r="AK1130" i="3"/>
  <c r="AK1129" i="3"/>
  <c r="AK1128" i="3"/>
  <c r="AK1127" i="3"/>
  <c r="AK1126" i="3"/>
  <c r="AK1125" i="3"/>
  <c r="AK1124" i="3"/>
  <c r="AK1123" i="3"/>
  <c r="AK1122" i="3"/>
  <c r="AK1121" i="3"/>
  <c r="AK1120" i="3"/>
  <c r="AK1119" i="3"/>
  <c r="AK1118" i="3"/>
  <c r="AK1117" i="3"/>
  <c r="AK1116" i="3"/>
  <c r="AK1115" i="3"/>
  <c r="AK1114" i="3"/>
  <c r="AK1113" i="3"/>
  <c r="AK1112" i="3"/>
  <c r="AK1111" i="3"/>
  <c r="AK1110" i="3"/>
  <c r="AK1109" i="3"/>
  <c r="AK1108" i="3"/>
  <c r="AK1107" i="3"/>
  <c r="AK1106" i="3"/>
  <c r="AK1105" i="3"/>
  <c r="AK1104" i="3"/>
  <c r="AK1103" i="3"/>
  <c r="AK1102" i="3"/>
  <c r="AK1101" i="3"/>
  <c r="AK1100" i="3"/>
  <c r="AK1099" i="3"/>
  <c r="AK1098" i="3"/>
  <c r="AK1097" i="3"/>
  <c r="AK1096" i="3"/>
  <c r="AK1095" i="3"/>
  <c r="AK1094" i="3"/>
  <c r="AK1093" i="3"/>
  <c r="AK1092" i="3"/>
  <c r="AK1091" i="3"/>
  <c r="AK1090" i="3"/>
  <c r="AK1089" i="3"/>
  <c r="AK1088" i="3"/>
  <c r="AK1087" i="3"/>
  <c r="AK1086" i="3"/>
  <c r="AK1085" i="3"/>
  <c r="AK1084" i="3"/>
  <c r="AK1083" i="3"/>
  <c r="AK1082" i="3"/>
  <c r="AK1081" i="3"/>
  <c r="AK1080" i="3"/>
  <c r="AK1079" i="3"/>
  <c r="AK1078" i="3"/>
  <c r="AK1077" i="3"/>
  <c r="AK1076" i="3"/>
  <c r="AK1075" i="3"/>
  <c r="AK1074" i="3"/>
  <c r="AK1073" i="3"/>
  <c r="AK1072" i="3"/>
  <c r="AK1071" i="3"/>
  <c r="AK1070" i="3"/>
  <c r="AK1069" i="3"/>
  <c r="AK1068" i="3"/>
  <c r="AK1067" i="3"/>
  <c r="AK1066" i="3"/>
  <c r="AK1065" i="3"/>
  <c r="AK1064" i="3"/>
  <c r="AK1063" i="3"/>
  <c r="AK1062" i="3"/>
  <c r="AK1061" i="3"/>
  <c r="AK1060" i="3"/>
  <c r="AK1059" i="3"/>
  <c r="AK1058" i="3"/>
  <c r="AK1057" i="3"/>
  <c r="AK1056" i="3"/>
  <c r="AK1055" i="3"/>
  <c r="AK1054" i="3"/>
  <c r="AK1053" i="3"/>
  <c r="AK1052" i="3"/>
  <c r="AK1051" i="3"/>
  <c r="AK1050" i="3"/>
  <c r="AK1049" i="3"/>
  <c r="AK1048" i="3"/>
  <c r="AK1047" i="3"/>
  <c r="AK1046" i="3"/>
  <c r="AK1045" i="3"/>
  <c r="AK1044" i="3"/>
  <c r="AK1043" i="3"/>
  <c r="AK1042" i="3"/>
  <c r="AK1041" i="3"/>
  <c r="AK1040" i="3"/>
  <c r="AK1039" i="3"/>
  <c r="AK1038" i="3"/>
  <c r="AK1037" i="3"/>
  <c r="AK1036" i="3"/>
  <c r="AK1035" i="3"/>
  <c r="AK1034" i="3"/>
  <c r="AK1033" i="3"/>
  <c r="AK1032" i="3"/>
  <c r="AK1031" i="3"/>
  <c r="AK1030" i="3"/>
  <c r="AK1029" i="3"/>
  <c r="AK1028" i="3"/>
  <c r="AK1027" i="3"/>
  <c r="AK1026" i="3"/>
  <c r="AK1025" i="3"/>
  <c r="AK1024" i="3"/>
  <c r="AK1023" i="3"/>
  <c r="AK1022" i="3"/>
  <c r="AK1021" i="3"/>
  <c r="AK1020" i="3"/>
  <c r="AK1019" i="3"/>
  <c r="AK1018" i="3"/>
  <c r="AK1017" i="3"/>
  <c r="AK1016" i="3"/>
  <c r="AK1015" i="3"/>
  <c r="AK1014" i="3"/>
  <c r="AK1013" i="3"/>
  <c r="AK1012" i="3"/>
  <c r="AK1011" i="3"/>
  <c r="AK1010" i="3"/>
  <c r="AK1009" i="3"/>
  <c r="AK1008" i="3"/>
  <c r="AK1007" i="3"/>
  <c r="AK1006" i="3"/>
  <c r="AK1005" i="3"/>
  <c r="AK1004" i="3"/>
  <c r="AK1003" i="3"/>
  <c r="AK1002" i="3"/>
  <c r="AK1001" i="3"/>
  <c r="AK1000" i="3"/>
  <c r="AK999" i="3"/>
  <c r="AK998" i="3"/>
  <c r="AK997" i="3"/>
  <c r="AK996" i="3"/>
  <c r="AK995" i="3"/>
  <c r="AK994" i="3"/>
  <c r="AK993" i="3"/>
  <c r="AK992" i="3"/>
  <c r="AK991" i="3"/>
  <c r="AK990" i="3"/>
  <c r="AK989" i="3"/>
  <c r="AK988" i="3"/>
  <c r="AK987" i="3"/>
  <c r="AK986" i="3"/>
  <c r="AK985" i="3"/>
  <c r="AK984" i="3"/>
  <c r="AK983" i="3"/>
  <c r="AK982" i="3"/>
  <c r="AK981" i="3"/>
  <c r="AK980" i="3"/>
  <c r="AK979" i="3"/>
  <c r="AK978" i="3"/>
  <c r="AK977" i="3"/>
  <c r="AK976" i="3"/>
  <c r="AK975" i="3"/>
  <c r="AK974" i="3"/>
  <c r="AK973" i="3"/>
  <c r="AK972" i="3"/>
  <c r="AK971" i="3"/>
  <c r="AK970" i="3"/>
  <c r="AK969" i="3"/>
  <c r="AK968" i="3"/>
  <c r="AK967" i="3"/>
  <c r="AK966" i="3"/>
  <c r="AK965" i="3"/>
  <c r="AK964" i="3"/>
  <c r="AK963" i="3"/>
  <c r="AK962" i="3"/>
  <c r="AK961" i="3"/>
  <c r="AK960" i="3"/>
  <c r="AK959" i="3"/>
  <c r="AK958" i="3"/>
  <c r="AK957" i="3"/>
  <c r="AK956" i="3"/>
  <c r="AK955" i="3"/>
  <c r="AK954" i="3"/>
  <c r="AK953" i="3"/>
  <c r="AK952" i="3"/>
  <c r="AK951" i="3"/>
  <c r="AK950" i="3"/>
  <c r="AK949" i="3"/>
  <c r="AK948" i="3"/>
  <c r="AK947" i="3"/>
  <c r="AK946" i="3"/>
  <c r="AK945" i="3"/>
  <c r="AK944" i="3"/>
  <c r="AK943" i="3"/>
  <c r="AK942" i="3"/>
  <c r="AK941" i="3"/>
  <c r="AK940" i="3"/>
  <c r="AK939" i="3"/>
  <c r="AK938" i="3"/>
  <c r="AK937" i="3"/>
  <c r="AK936" i="3"/>
  <c r="AK935" i="3"/>
  <c r="AK934" i="3"/>
  <c r="AK933" i="3"/>
  <c r="AK932" i="3"/>
  <c r="AK931" i="3"/>
  <c r="AK930" i="3"/>
  <c r="AK929" i="3"/>
  <c r="AK928" i="3"/>
  <c r="AK927" i="3"/>
  <c r="AK926" i="3"/>
  <c r="AK925" i="3"/>
  <c r="AK924" i="3"/>
  <c r="AK923" i="3"/>
  <c r="AK922" i="3"/>
  <c r="AK921" i="3"/>
  <c r="AK920" i="3"/>
  <c r="AK919" i="3"/>
  <c r="AK918" i="3"/>
  <c r="AK917" i="3"/>
  <c r="AK916" i="3"/>
  <c r="AK915" i="3"/>
  <c r="AK914" i="3"/>
  <c r="AK913" i="3"/>
  <c r="AK912" i="3"/>
  <c r="AK911" i="3"/>
  <c r="AK910" i="3"/>
  <c r="AK909" i="3"/>
  <c r="AK908" i="3"/>
  <c r="AK907" i="3"/>
  <c r="AK906" i="3"/>
  <c r="AK905" i="3"/>
  <c r="AK904" i="3"/>
  <c r="AK903" i="3"/>
  <c r="AK902" i="3"/>
  <c r="AK901" i="3"/>
  <c r="AK900" i="3"/>
  <c r="AK899" i="3"/>
  <c r="AK898" i="3"/>
  <c r="AK897" i="3"/>
  <c r="AK896" i="3"/>
  <c r="AK895" i="3"/>
  <c r="AK894" i="3"/>
  <c r="AK893" i="3"/>
  <c r="AK892" i="3"/>
  <c r="AK891" i="3"/>
  <c r="AK890" i="3"/>
  <c r="AK889" i="3"/>
  <c r="AK888" i="3"/>
  <c r="AK887" i="3"/>
  <c r="AK886" i="3"/>
  <c r="AK885" i="3"/>
  <c r="AK884" i="3"/>
  <c r="AK883" i="3"/>
  <c r="AK882" i="3"/>
  <c r="AK881" i="3"/>
  <c r="AK880" i="3"/>
  <c r="AK879" i="3"/>
  <c r="AK878" i="3"/>
  <c r="AK877" i="3"/>
  <c r="AK876" i="3"/>
  <c r="AK875" i="3"/>
  <c r="AK874" i="3"/>
  <c r="AK873" i="3"/>
  <c r="AK872" i="3"/>
  <c r="AK871" i="3"/>
  <c r="AK870" i="3"/>
  <c r="AK869" i="3"/>
  <c r="AK868" i="3"/>
  <c r="AK867" i="3"/>
  <c r="AK866" i="3"/>
  <c r="AK865" i="3"/>
  <c r="AK864" i="3"/>
  <c r="AK863" i="3"/>
  <c r="AK862" i="3"/>
  <c r="AK861" i="3"/>
  <c r="AK860" i="3"/>
  <c r="AK859" i="3"/>
  <c r="AK858" i="3"/>
  <c r="AK857" i="3"/>
  <c r="AK856" i="3"/>
  <c r="AK855" i="3"/>
  <c r="AK854" i="3"/>
  <c r="AK853" i="3"/>
  <c r="AK852" i="3"/>
  <c r="AK851" i="3"/>
  <c r="AK850" i="3"/>
  <c r="AK849" i="3"/>
  <c r="AK848" i="3"/>
  <c r="AK847" i="3"/>
  <c r="AK846" i="3"/>
  <c r="AK845" i="3"/>
  <c r="AK844" i="3"/>
  <c r="AK843" i="3"/>
  <c r="AK842" i="3"/>
  <c r="AK841" i="3"/>
  <c r="AK840" i="3"/>
  <c r="AK839" i="3"/>
  <c r="AK838" i="3"/>
  <c r="AK837" i="3"/>
  <c r="AK836" i="3"/>
  <c r="AK835" i="3"/>
  <c r="AK834" i="3"/>
  <c r="AK833" i="3"/>
  <c r="AK832" i="3"/>
  <c r="AK831" i="3"/>
  <c r="AK830" i="3"/>
  <c r="AK829" i="3"/>
  <c r="AK828" i="3"/>
  <c r="AK827" i="3"/>
  <c r="AK826" i="3"/>
  <c r="AK825" i="3"/>
  <c r="AK824" i="3"/>
  <c r="AK823" i="3"/>
  <c r="AK822" i="3"/>
  <c r="AK821" i="3"/>
  <c r="AK820" i="3"/>
  <c r="AK819" i="3"/>
  <c r="AK818" i="3"/>
  <c r="AK817" i="3"/>
  <c r="AK816" i="3"/>
  <c r="AK815" i="3"/>
  <c r="AK814" i="3"/>
  <c r="AK813" i="3"/>
  <c r="AK812" i="3"/>
  <c r="AK811" i="3"/>
  <c r="AK810" i="3"/>
  <c r="AK809" i="3"/>
  <c r="AK808" i="3"/>
  <c r="AK807" i="3"/>
  <c r="AK806" i="3"/>
  <c r="AK805" i="3"/>
  <c r="AK804" i="3"/>
  <c r="AK803" i="3"/>
  <c r="AK802" i="3"/>
  <c r="AK801" i="3"/>
  <c r="AK800" i="3"/>
  <c r="AK799" i="3"/>
  <c r="AK798" i="3"/>
  <c r="AK797" i="3"/>
  <c r="AK796" i="3"/>
  <c r="AK795" i="3"/>
  <c r="AK794" i="3"/>
  <c r="AK793" i="3"/>
  <c r="AK792" i="3"/>
  <c r="AK791" i="3"/>
  <c r="AK790" i="3"/>
  <c r="AK789" i="3"/>
  <c r="AK788" i="3"/>
  <c r="AK787" i="3"/>
  <c r="AK786" i="3"/>
  <c r="AK785" i="3"/>
  <c r="AK784" i="3"/>
  <c r="AK783" i="3"/>
  <c r="AK782" i="3"/>
  <c r="AK781" i="3"/>
  <c r="AK780" i="3"/>
  <c r="AK779" i="3"/>
  <c r="AK778" i="3"/>
  <c r="AK777" i="3"/>
  <c r="AK776" i="3"/>
  <c r="AK775" i="3"/>
  <c r="AK774" i="3"/>
  <c r="AK773" i="3"/>
  <c r="AK772" i="3"/>
  <c r="AK771" i="3"/>
  <c r="AK770" i="3"/>
  <c r="AK769" i="3"/>
  <c r="AK768" i="3"/>
  <c r="AK767" i="3"/>
  <c r="AK766" i="3"/>
  <c r="AK765" i="3"/>
  <c r="AK764" i="3"/>
  <c r="AK763" i="3"/>
  <c r="AK762" i="3"/>
  <c r="AK761" i="3"/>
  <c r="AK760" i="3"/>
  <c r="AK759" i="3"/>
  <c r="AK758" i="3"/>
  <c r="AK757" i="3"/>
  <c r="AK756" i="3"/>
  <c r="AK755" i="3"/>
  <c r="AK754" i="3"/>
  <c r="AK753" i="3"/>
  <c r="AK752" i="3"/>
  <c r="AK751" i="3"/>
  <c r="AK750" i="3"/>
  <c r="AK749" i="3"/>
  <c r="AK748" i="3"/>
  <c r="AK747" i="3"/>
  <c r="AK746" i="3"/>
  <c r="AK745" i="3"/>
  <c r="AK744" i="3"/>
  <c r="AK743" i="3"/>
  <c r="AK742" i="3"/>
  <c r="AK741" i="3"/>
  <c r="AK740" i="3"/>
  <c r="AK739" i="3"/>
  <c r="AK738" i="3"/>
  <c r="AK737" i="3"/>
  <c r="AK736" i="3"/>
  <c r="AK735" i="3"/>
  <c r="AK734" i="3"/>
  <c r="AK733" i="3"/>
  <c r="AK732" i="3"/>
  <c r="AK731" i="3"/>
  <c r="AK730" i="3"/>
  <c r="AK729" i="3"/>
  <c r="AK728" i="3"/>
  <c r="AK727" i="3"/>
  <c r="AK726" i="3"/>
  <c r="AK725" i="3"/>
  <c r="AK724" i="3"/>
  <c r="AK723" i="3"/>
  <c r="AK722" i="3"/>
  <c r="AK721" i="3"/>
  <c r="AK720" i="3"/>
  <c r="AK719" i="3"/>
  <c r="AK718" i="3"/>
  <c r="AK717" i="3"/>
  <c r="AK716" i="3"/>
  <c r="AK715" i="3"/>
  <c r="AK714" i="3"/>
  <c r="AK713" i="3"/>
  <c r="AK712" i="3"/>
  <c r="AK711" i="3"/>
  <c r="AK710" i="3"/>
  <c r="AK709" i="3"/>
  <c r="AK708" i="3"/>
  <c r="AK707" i="3"/>
  <c r="AK706" i="3"/>
  <c r="AK705" i="3"/>
  <c r="AK704" i="3"/>
  <c r="AK703" i="3"/>
  <c r="AK702" i="3"/>
  <c r="AK701" i="3"/>
  <c r="AK700" i="3"/>
  <c r="AK699" i="3"/>
  <c r="AK698" i="3"/>
  <c r="AK697" i="3"/>
  <c r="AK696" i="3"/>
  <c r="AK695" i="3"/>
  <c r="AK694" i="3"/>
  <c r="AK693" i="3"/>
  <c r="AK692" i="3"/>
  <c r="AK691" i="3"/>
  <c r="AK690" i="3"/>
  <c r="AK689" i="3"/>
  <c r="AK688" i="3"/>
  <c r="AK687" i="3"/>
  <c r="AK686" i="3"/>
  <c r="AK685" i="3"/>
  <c r="AK684" i="3"/>
  <c r="AK683" i="3"/>
  <c r="AK682" i="3"/>
  <c r="AK681" i="3"/>
  <c r="AK680" i="3"/>
  <c r="AK679" i="3"/>
  <c r="AK678" i="3"/>
  <c r="AK677" i="3"/>
  <c r="AK676" i="3"/>
  <c r="AK675" i="3"/>
  <c r="AK674" i="3"/>
  <c r="AK673" i="3"/>
  <c r="AK672" i="3"/>
  <c r="AK671" i="3"/>
  <c r="AK670" i="3"/>
  <c r="AK669" i="3"/>
  <c r="AK668" i="3"/>
  <c r="AK667" i="3"/>
  <c r="AK666" i="3"/>
  <c r="AK665" i="3"/>
  <c r="AK664" i="3"/>
  <c r="AK663" i="3"/>
  <c r="AK662" i="3"/>
  <c r="AK661" i="3"/>
  <c r="AK660" i="3"/>
  <c r="AK659" i="3"/>
  <c r="AK658" i="3"/>
  <c r="AK657" i="3"/>
  <c r="AK656" i="3"/>
  <c r="AK655" i="3"/>
  <c r="AK654" i="3"/>
  <c r="AK653" i="3"/>
  <c r="AK652" i="3"/>
  <c r="AK651" i="3"/>
  <c r="AK650" i="3"/>
  <c r="AK649" i="3"/>
  <c r="AK648" i="3"/>
  <c r="AK647" i="3"/>
  <c r="AK646" i="3"/>
  <c r="AK645" i="3"/>
  <c r="AK644" i="3"/>
  <c r="AK643" i="3"/>
  <c r="AK642" i="3"/>
  <c r="AK641" i="3"/>
  <c r="AK640" i="3"/>
  <c r="AK639" i="3"/>
  <c r="AK638" i="3"/>
  <c r="AK637" i="3"/>
  <c r="AK636" i="3"/>
  <c r="AK635" i="3"/>
  <c r="AK634" i="3"/>
  <c r="AK633" i="3"/>
  <c r="AK632" i="3"/>
  <c r="AK631" i="3"/>
  <c r="AK630" i="3"/>
  <c r="AK629" i="3"/>
  <c r="AK628" i="3"/>
  <c r="AK627" i="3"/>
  <c r="AK626" i="3"/>
  <c r="AK625" i="3"/>
  <c r="AK624" i="3"/>
  <c r="AK623" i="3"/>
  <c r="AK622" i="3"/>
  <c r="AK621" i="3"/>
  <c r="AK620" i="3"/>
  <c r="AK619" i="3"/>
  <c r="AK618" i="3"/>
  <c r="AK617" i="3"/>
  <c r="AK616" i="3"/>
  <c r="AK615" i="3"/>
  <c r="AK614" i="3"/>
  <c r="AK613" i="3"/>
  <c r="AK612" i="3"/>
  <c r="AK611" i="3"/>
  <c r="AK610" i="3"/>
  <c r="AK609" i="3"/>
  <c r="AK608" i="3"/>
  <c r="AK607" i="3"/>
  <c r="AK606" i="3"/>
  <c r="AK605" i="3"/>
  <c r="AK604" i="3"/>
  <c r="AK603" i="3"/>
  <c r="AK602" i="3"/>
  <c r="AK601" i="3"/>
  <c r="AK600" i="3"/>
  <c r="AK599" i="3"/>
  <c r="AK598" i="3"/>
  <c r="AK597" i="3"/>
  <c r="AK596" i="3"/>
  <c r="AK595" i="3"/>
  <c r="AK594" i="3"/>
  <c r="AK593" i="3"/>
  <c r="AK592" i="3"/>
  <c r="AK591" i="3"/>
  <c r="AK590" i="3"/>
  <c r="AK589" i="3"/>
  <c r="AK588" i="3"/>
  <c r="AK587" i="3"/>
  <c r="AK586" i="3"/>
  <c r="AK585" i="3"/>
  <c r="AK584" i="3"/>
  <c r="AK583" i="3"/>
  <c r="AK582" i="3"/>
  <c r="AK581" i="3"/>
  <c r="AK580" i="3"/>
  <c r="AK579" i="3"/>
  <c r="AK578" i="3"/>
  <c r="AK577" i="3"/>
  <c r="AK576" i="3"/>
  <c r="AK575" i="3"/>
  <c r="AK574" i="3"/>
  <c r="AK573" i="3"/>
  <c r="AK572" i="3"/>
  <c r="AK571" i="3"/>
  <c r="AK570" i="3"/>
  <c r="AK569" i="3"/>
  <c r="AK568" i="3"/>
  <c r="AK567" i="3"/>
  <c r="AK566" i="3"/>
  <c r="AK565" i="3"/>
  <c r="AK564" i="3"/>
  <c r="AK563" i="3"/>
  <c r="AK562" i="3"/>
  <c r="AK561" i="3"/>
  <c r="AK560" i="3"/>
  <c r="AK559" i="3"/>
  <c r="AK558" i="3"/>
  <c r="AK557" i="3"/>
  <c r="AK556" i="3"/>
  <c r="AK555" i="3"/>
  <c r="AK554" i="3"/>
  <c r="AK553" i="3"/>
  <c r="AK552" i="3"/>
  <c r="AK551" i="3"/>
  <c r="AK550" i="3"/>
  <c r="AK549" i="3"/>
  <c r="AK548" i="3"/>
  <c r="AK547" i="3"/>
  <c r="AK546" i="3"/>
  <c r="AK545" i="3"/>
  <c r="AK544" i="3"/>
  <c r="AK543" i="3"/>
  <c r="AK542" i="3"/>
  <c r="AK541" i="3"/>
  <c r="AK540" i="3"/>
  <c r="AK539" i="3"/>
  <c r="AK538" i="3"/>
  <c r="AK537" i="3"/>
  <c r="AK536" i="3"/>
  <c r="AK535" i="3"/>
  <c r="AK534" i="3"/>
  <c r="AK533" i="3"/>
  <c r="AK532" i="3"/>
  <c r="AK531" i="3"/>
  <c r="AK530" i="3"/>
  <c r="AK529" i="3"/>
  <c r="AK528" i="3"/>
  <c r="AK527" i="3"/>
  <c r="AK526" i="3"/>
  <c r="AK525" i="3"/>
  <c r="AK524" i="3"/>
  <c r="AK523" i="3"/>
  <c r="AK522" i="3"/>
  <c r="AK521" i="3"/>
  <c r="AK520" i="3"/>
  <c r="AK519" i="3"/>
  <c r="AK518" i="3"/>
  <c r="AK517" i="3"/>
  <c r="AK516" i="3"/>
  <c r="AK515" i="3"/>
  <c r="AK514" i="3"/>
  <c r="AK513" i="3"/>
  <c r="AK512" i="3"/>
  <c r="AK511" i="3"/>
  <c r="AK510" i="3"/>
  <c r="AK509" i="3"/>
  <c r="AK508" i="3"/>
  <c r="AK507" i="3"/>
  <c r="AK506" i="3"/>
  <c r="AK505" i="3"/>
  <c r="AK504" i="3"/>
  <c r="AK503" i="3"/>
  <c r="AK502" i="3"/>
  <c r="AK501" i="3"/>
  <c r="AK500" i="3"/>
  <c r="AK499" i="3"/>
  <c r="AK498" i="3"/>
  <c r="AK497" i="3"/>
  <c r="AK496" i="3"/>
  <c r="AK495" i="3"/>
  <c r="AK494" i="3"/>
  <c r="AK493" i="3"/>
  <c r="AK492" i="3"/>
  <c r="AK491" i="3"/>
  <c r="AK490" i="3"/>
  <c r="AK489" i="3"/>
  <c r="AK488" i="3"/>
  <c r="AK487" i="3"/>
  <c r="AK486" i="3"/>
  <c r="AK485" i="3"/>
  <c r="AK484" i="3"/>
  <c r="AK483" i="3"/>
  <c r="AK482" i="3"/>
  <c r="AK481" i="3"/>
  <c r="AK480" i="3"/>
  <c r="AK479" i="3"/>
  <c r="AK478" i="3"/>
  <c r="AK477" i="3"/>
  <c r="AK476" i="3"/>
  <c r="AK475" i="3"/>
  <c r="AK474" i="3"/>
  <c r="AK473" i="3"/>
  <c r="AK472" i="3"/>
  <c r="AK471" i="3"/>
  <c r="AK470" i="3"/>
  <c r="AK469" i="3"/>
  <c r="AK468" i="3"/>
  <c r="AK467" i="3"/>
  <c r="AK466" i="3"/>
  <c r="AK465" i="3"/>
  <c r="AK464" i="3"/>
  <c r="AK463" i="3"/>
  <c r="AK462" i="3"/>
  <c r="AK461" i="3"/>
  <c r="AK460" i="3"/>
  <c r="AK459" i="3"/>
  <c r="AK458" i="3"/>
  <c r="AK45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8" i="3"/>
  <c r="AK377" i="3"/>
  <c r="AK376" i="3"/>
  <c r="AK375" i="3"/>
  <c r="AK374" i="3"/>
  <c r="AK373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5" i="3"/>
  <c r="AK354" i="3"/>
  <c r="AK353" i="3"/>
  <c r="AK352" i="3"/>
  <c r="AK351" i="3"/>
  <c r="AK350" i="3"/>
  <c r="AK349" i="3"/>
  <c r="AK348" i="3"/>
  <c r="AK347" i="3"/>
  <c r="AK346" i="3"/>
  <c r="AK345" i="3"/>
  <c r="AK344" i="3"/>
  <c r="AK343" i="3"/>
  <c r="AK342" i="3"/>
  <c r="AK341" i="3"/>
  <c r="AK340" i="3"/>
  <c r="AK339" i="3"/>
  <c r="AK338" i="3"/>
  <c r="AK337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9" i="3"/>
  <c r="AK318" i="3"/>
  <c r="AK317" i="3"/>
  <c r="AK316" i="3"/>
  <c r="AK315" i="3"/>
  <c r="AK314" i="3"/>
  <c r="AK313" i="3"/>
  <c r="AK312" i="3"/>
  <c r="AK311" i="3"/>
  <c r="AK310" i="3"/>
  <c r="AK309" i="3"/>
  <c r="AK308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4" i="3"/>
  <c r="AK293" i="3"/>
  <c r="AK292" i="3"/>
  <c r="AK291" i="3"/>
  <c r="AK290" i="3"/>
  <c r="AK289" i="3"/>
  <c r="AK288" i="3"/>
  <c r="AK287" i="3"/>
  <c r="AK286" i="3"/>
  <c r="AK285" i="3"/>
  <c r="AK284" i="3"/>
  <c r="AK283" i="3"/>
  <c r="AK282" i="3"/>
  <c r="AK281" i="3"/>
  <c r="AK280" i="3"/>
  <c r="AK279" i="3"/>
  <c r="AK278" i="3"/>
  <c r="AK277" i="3"/>
  <c r="AK276" i="3"/>
  <c r="AK275" i="3"/>
  <c r="AK274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7" i="3"/>
  <c r="AK256" i="3"/>
  <c r="AK255" i="3"/>
  <c r="AK254" i="3"/>
  <c r="AK253" i="3"/>
  <c r="AK252" i="3"/>
  <c r="AK251" i="3"/>
  <c r="AK250" i="3"/>
  <c r="AK249" i="3"/>
  <c r="AK248" i="3"/>
  <c r="AK247" i="3"/>
  <c r="AK246" i="3"/>
  <c r="AK245" i="3"/>
  <c r="AK244" i="3"/>
  <c r="AK243" i="3"/>
  <c r="AK242" i="3"/>
  <c r="AK241" i="3"/>
  <c r="AK240" i="3"/>
  <c r="AK239" i="3"/>
  <c r="AK238" i="3"/>
  <c r="AK237" i="3"/>
  <c r="AK236" i="3"/>
  <c r="AK235" i="3"/>
  <c r="AK234" i="3"/>
  <c r="AK233" i="3"/>
  <c r="AK232" i="3"/>
  <c r="AK231" i="3"/>
  <c r="AK230" i="3"/>
  <c r="AK229" i="3"/>
  <c r="AK228" i="3"/>
  <c r="AK227" i="3"/>
  <c r="AK226" i="3"/>
  <c r="AK225" i="3"/>
  <c r="AK224" i="3"/>
  <c r="AK223" i="3"/>
  <c r="AK222" i="3"/>
  <c r="AK221" i="3"/>
  <c r="AK220" i="3"/>
  <c r="AK219" i="3"/>
  <c r="AK218" i="3"/>
  <c r="AK217" i="3"/>
  <c r="AK216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200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6" i="3"/>
  <c r="AK185" i="3"/>
  <c r="AK184" i="3"/>
  <c r="AK183" i="3"/>
  <c r="AK182" i="3"/>
  <c r="AK181" i="3"/>
  <c r="AK180" i="3"/>
  <c r="AK179" i="3"/>
  <c r="AK178" i="3"/>
  <c r="AK177" i="3"/>
  <c r="AK176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60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2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J1471" i="3"/>
  <c r="AJ1470" i="3"/>
  <c r="AJ1469" i="3"/>
  <c r="AJ1468" i="3"/>
  <c r="AJ1467" i="3"/>
  <c r="AJ1466" i="3"/>
  <c r="AJ1465" i="3"/>
  <c r="AJ1464" i="3"/>
  <c r="AJ1463" i="3"/>
  <c r="AJ1462" i="3"/>
  <c r="AJ1461" i="3"/>
  <c r="AJ1460" i="3"/>
  <c r="AJ1459" i="3"/>
  <c r="AJ1458" i="3"/>
  <c r="AJ1457" i="3"/>
  <c r="AJ1456" i="3"/>
  <c r="AJ1455" i="3"/>
  <c r="AJ1454" i="3"/>
  <c r="AJ1453" i="3"/>
  <c r="AJ1452" i="3"/>
  <c r="AJ1451" i="3"/>
  <c r="AJ1450" i="3"/>
  <c r="AJ1449" i="3"/>
  <c r="AJ1448" i="3"/>
  <c r="AJ1447" i="3"/>
  <c r="AJ1446" i="3"/>
  <c r="AJ1445" i="3"/>
  <c r="AJ1444" i="3"/>
  <c r="AJ1443" i="3"/>
  <c r="AJ1442" i="3"/>
  <c r="AJ1441" i="3"/>
  <c r="AJ1440" i="3"/>
  <c r="AJ1439" i="3"/>
  <c r="AJ1438" i="3"/>
  <c r="AJ1437" i="3"/>
  <c r="AJ1436" i="3"/>
  <c r="AJ1435" i="3"/>
  <c r="AJ1434" i="3"/>
  <c r="AJ1433" i="3"/>
  <c r="AJ1432" i="3"/>
  <c r="AJ1431" i="3"/>
  <c r="AJ1430" i="3"/>
  <c r="AJ1429" i="3"/>
  <c r="AJ1428" i="3"/>
  <c r="AJ1427" i="3"/>
  <c r="AJ1426" i="3"/>
  <c r="AJ1425" i="3"/>
  <c r="AJ1424" i="3"/>
  <c r="AJ1423" i="3"/>
  <c r="AJ1422" i="3"/>
  <c r="AJ1421" i="3"/>
  <c r="AJ1420" i="3"/>
  <c r="AJ1419" i="3"/>
  <c r="AJ1418" i="3"/>
  <c r="AJ1417" i="3"/>
  <c r="AJ1416" i="3"/>
  <c r="AJ1415" i="3"/>
  <c r="AJ1414" i="3"/>
  <c r="AJ1413" i="3"/>
  <c r="AJ1412" i="3"/>
  <c r="AJ1411" i="3"/>
  <c r="AJ1410" i="3"/>
  <c r="AJ1409" i="3"/>
  <c r="AJ1408" i="3"/>
  <c r="AJ1407" i="3"/>
  <c r="AJ1406" i="3"/>
  <c r="AJ1405" i="3"/>
  <c r="AJ1404" i="3"/>
  <c r="AJ1403" i="3"/>
  <c r="AJ1402" i="3"/>
  <c r="AJ1401" i="3"/>
  <c r="AJ1400" i="3"/>
  <c r="AJ1399" i="3"/>
  <c r="AJ1398" i="3"/>
  <c r="AJ1397" i="3"/>
  <c r="AJ1396" i="3"/>
  <c r="AJ1395" i="3"/>
  <c r="AJ1394" i="3"/>
  <c r="AJ1393" i="3"/>
  <c r="AJ1392" i="3"/>
  <c r="AJ1391" i="3"/>
  <c r="AJ1390" i="3"/>
  <c r="AJ1389" i="3"/>
  <c r="AJ1388" i="3"/>
  <c r="AJ1387" i="3"/>
  <c r="AJ1386" i="3"/>
  <c r="AJ1385" i="3"/>
  <c r="AJ1384" i="3"/>
  <c r="AJ1383" i="3"/>
  <c r="AJ1382" i="3"/>
  <c r="AJ1381" i="3"/>
  <c r="AJ1380" i="3"/>
  <c r="AJ1379" i="3"/>
  <c r="AJ1378" i="3"/>
  <c r="AJ1377" i="3"/>
  <c r="AJ1376" i="3"/>
  <c r="AJ1375" i="3"/>
  <c r="AJ1374" i="3"/>
  <c r="AJ1373" i="3"/>
  <c r="AJ1372" i="3"/>
  <c r="AJ1371" i="3"/>
  <c r="AJ1370" i="3"/>
  <c r="AJ1369" i="3"/>
  <c r="AJ1368" i="3"/>
  <c r="AJ1367" i="3"/>
  <c r="AJ1366" i="3"/>
  <c r="AJ1365" i="3"/>
  <c r="AJ1364" i="3"/>
  <c r="AJ1363" i="3"/>
  <c r="AJ1362" i="3"/>
  <c r="AJ1361" i="3"/>
  <c r="AJ1360" i="3"/>
  <c r="AJ1359" i="3"/>
  <c r="AJ1358" i="3"/>
  <c r="AJ1357" i="3"/>
  <c r="AJ1356" i="3"/>
  <c r="AJ1355" i="3"/>
  <c r="AJ1354" i="3"/>
  <c r="AJ1353" i="3"/>
  <c r="AJ1352" i="3"/>
  <c r="AJ1351" i="3"/>
  <c r="AJ1350" i="3"/>
  <c r="AJ1349" i="3"/>
  <c r="AJ1348" i="3"/>
  <c r="AJ1347" i="3"/>
  <c r="AJ1346" i="3"/>
  <c r="AJ1345" i="3"/>
  <c r="AJ1344" i="3"/>
  <c r="AJ1343" i="3"/>
  <c r="AJ1342" i="3"/>
  <c r="AJ1341" i="3"/>
  <c r="AJ1340" i="3"/>
  <c r="AJ1339" i="3"/>
  <c r="AJ1338" i="3"/>
  <c r="AJ1337" i="3"/>
  <c r="AJ1336" i="3"/>
  <c r="AJ1335" i="3"/>
  <c r="AJ1334" i="3"/>
  <c r="AJ1333" i="3"/>
  <c r="AJ1332" i="3"/>
  <c r="AJ1331" i="3"/>
  <c r="AJ1330" i="3"/>
  <c r="AJ1329" i="3"/>
  <c r="AJ1328" i="3"/>
  <c r="AJ1327" i="3"/>
  <c r="AJ1326" i="3"/>
  <c r="AJ1325" i="3"/>
  <c r="AJ1324" i="3"/>
  <c r="AJ1323" i="3"/>
  <c r="AJ1322" i="3"/>
  <c r="AJ1321" i="3"/>
  <c r="AJ1320" i="3"/>
  <c r="AJ1319" i="3"/>
  <c r="AJ1318" i="3"/>
  <c r="AJ1317" i="3"/>
  <c r="AJ1316" i="3"/>
  <c r="AJ1315" i="3"/>
  <c r="AJ1314" i="3"/>
  <c r="AJ1313" i="3"/>
  <c r="AJ1312" i="3"/>
  <c r="AJ1311" i="3"/>
  <c r="AJ1310" i="3"/>
  <c r="AJ1309" i="3"/>
  <c r="AJ1308" i="3"/>
  <c r="AJ1307" i="3"/>
  <c r="AJ1306" i="3"/>
  <c r="AJ1305" i="3"/>
  <c r="AJ1304" i="3"/>
  <c r="AJ1303" i="3"/>
  <c r="AJ1302" i="3"/>
  <c r="AJ1301" i="3"/>
  <c r="AJ1300" i="3"/>
  <c r="AJ1299" i="3"/>
  <c r="AJ1298" i="3"/>
  <c r="AJ1297" i="3"/>
  <c r="AJ1296" i="3"/>
  <c r="AJ1295" i="3"/>
  <c r="AJ1294" i="3"/>
  <c r="AJ1293" i="3"/>
  <c r="AJ1292" i="3"/>
  <c r="AJ1291" i="3"/>
  <c r="AJ1290" i="3"/>
  <c r="AJ1289" i="3"/>
  <c r="AJ1288" i="3"/>
  <c r="AJ1287" i="3"/>
  <c r="AJ1286" i="3"/>
  <c r="AJ1285" i="3"/>
  <c r="AJ1284" i="3"/>
  <c r="AJ1283" i="3"/>
  <c r="AJ1282" i="3"/>
  <c r="AJ1281" i="3"/>
  <c r="AJ1280" i="3"/>
  <c r="AJ1279" i="3"/>
  <c r="AJ1278" i="3"/>
  <c r="AJ1277" i="3"/>
  <c r="AJ1276" i="3"/>
  <c r="AJ1275" i="3"/>
  <c r="AJ1274" i="3"/>
  <c r="AJ1273" i="3"/>
  <c r="AJ1272" i="3"/>
  <c r="AJ1271" i="3"/>
  <c r="AJ1270" i="3"/>
  <c r="AJ1269" i="3"/>
  <c r="AJ1268" i="3"/>
  <c r="AJ1267" i="3"/>
  <c r="AJ1266" i="3"/>
  <c r="AJ1265" i="3"/>
  <c r="AJ1264" i="3"/>
  <c r="AJ1263" i="3"/>
  <c r="AJ1262" i="3"/>
  <c r="AJ1261" i="3"/>
  <c r="AJ1260" i="3"/>
  <c r="AJ1259" i="3"/>
  <c r="AJ1258" i="3"/>
  <c r="AJ1257" i="3"/>
  <c r="AJ1256" i="3"/>
  <c r="AJ1255" i="3"/>
  <c r="AJ1254" i="3"/>
  <c r="AJ1253" i="3"/>
  <c r="AJ1252" i="3"/>
  <c r="AJ1251" i="3"/>
  <c r="AJ1250" i="3"/>
  <c r="AJ1249" i="3"/>
  <c r="AJ1248" i="3"/>
  <c r="AJ1247" i="3"/>
  <c r="AJ1246" i="3"/>
  <c r="AJ1245" i="3"/>
  <c r="AJ1244" i="3"/>
  <c r="AJ1243" i="3"/>
  <c r="AJ1242" i="3"/>
  <c r="AJ1241" i="3"/>
  <c r="AJ1240" i="3"/>
  <c r="AJ1239" i="3"/>
  <c r="AJ1238" i="3"/>
  <c r="AJ1237" i="3"/>
  <c r="AJ1236" i="3"/>
  <c r="AJ1235" i="3"/>
  <c r="AJ1234" i="3"/>
  <c r="AJ1233" i="3"/>
  <c r="AJ1232" i="3"/>
  <c r="AJ1231" i="3"/>
  <c r="AJ1230" i="3"/>
  <c r="AJ1229" i="3"/>
  <c r="AJ1228" i="3"/>
  <c r="AJ1227" i="3"/>
  <c r="AJ1226" i="3"/>
  <c r="AJ1225" i="3"/>
  <c r="AJ1224" i="3"/>
  <c r="AJ1223" i="3"/>
  <c r="AJ1222" i="3"/>
  <c r="AJ1221" i="3"/>
  <c r="AJ1220" i="3"/>
  <c r="AJ1219" i="3"/>
  <c r="AJ1218" i="3"/>
  <c r="AJ1217" i="3"/>
  <c r="AJ1216" i="3"/>
  <c r="AJ1215" i="3"/>
  <c r="AJ1214" i="3"/>
  <c r="AJ1213" i="3"/>
  <c r="AJ1212" i="3"/>
  <c r="AJ1211" i="3"/>
  <c r="AJ1210" i="3"/>
  <c r="AJ1209" i="3"/>
  <c r="AJ1208" i="3"/>
  <c r="AJ1207" i="3"/>
  <c r="AJ1206" i="3"/>
  <c r="AJ1205" i="3"/>
  <c r="AJ1204" i="3"/>
  <c r="AJ1203" i="3"/>
  <c r="AJ1202" i="3"/>
  <c r="AJ1201" i="3"/>
  <c r="AJ1200" i="3"/>
  <c r="AJ1199" i="3"/>
  <c r="AJ1198" i="3"/>
  <c r="AJ1197" i="3"/>
  <c r="AJ1196" i="3"/>
  <c r="AJ1195" i="3"/>
  <c r="AJ1194" i="3"/>
  <c r="AJ1193" i="3"/>
  <c r="AJ1192" i="3"/>
  <c r="AJ1191" i="3"/>
  <c r="AJ1190" i="3"/>
  <c r="AJ1189" i="3"/>
  <c r="AJ1188" i="3"/>
  <c r="AJ1187" i="3"/>
  <c r="AJ1186" i="3"/>
  <c r="AJ1185" i="3"/>
  <c r="AJ1184" i="3"/>
  <c r="AJ1183" i="3"/>
  <c r="AJ1182" i="3"/>
  <c r="AJ1181" i="3"/>
  <c r="AJ1180" i="3"/>
  <c r="AJ1179" i="3"/>
  <c r="AJ1178" i="3"/>
  <c r="AJ1177" i="3"/>
  <c r="AJ1176" i="3"/>
  <c r="AJ1175" i="3"/>
  <c r="AJ1174" i="3"/>
  <c r="AJ1173" i="3"/>
  <c r="AJ1172" i="3"/>
  <c r="AJ1171" i="3"/>
  <c r="AJ1170" i="3"/>
  <c r="AJ1169" i="3"/>
  <c r="AJ1168" i="3"/>
  <c r="AJ1167" i="3"/>
  <c r="AJ1166" i="3"/>
  <c r="AJ1165" i="3"/>
  <c r="AJ1164" i="3"/>
  <c r="AJ1163" i="3"/>
  <c r="AJ1162" i="3"/>
  <c r="AJ1161" i="3"/>
  <c r="AJ1160" i="3"/>
  <c r="AJ1159" i="3"/>
  <c r="AJ1158" i="3"/>
  <c r="AJ1157" i="3"/>
  <c r="AJ1156" i="3"/>
  <c r="AJ1155" i="3"/>
  <c r="AJ1154" i="3"/>
  <c r="AJ1153" i="3"/>
  <c r="AJ1152" i="3"/>
  <c r="AJ1151" i="3"/>
  <c r="AJ1150" i="3"/>
  <c r="AJ1149" i="3"/>
  <c r="AJ1148" i="3"/>
  <c r="AJ1147" i="3"/>
  <c r="AJ1146" i="3"/>
  <c r="AJ1145" i="3"/>
  <c r="AJ1144" i="3"/>
  <c r="AJ1143" i="3"/>
  <c r="AJ1142" i="3"/>
  <c r="AJ1141" i="3"/>
  <c r="AJ1140" i="3"/>
  <c r="AJ1139" i="3"/>
  <c r="AJ1138" i="3"/>
  <c r="AJ1137" i="3"/>
  <c r="AJ1136" i="3"/>
  <c r="AJ1135" i="3"/>
  <c r="AJ1134" i="3"/>
  <c r="AJ1133" i="3"/>
  <c r="AJ1132" i="3"/>
  <c r="AJ1131" i="3"/>
  <c r="AJ1130" i="3"/>
  <c r="AJ1129" i="3"/>
  <c r="AJ1128" i="3"/>
  <c r="AJ1127" i="3"/>
  <c r="AJ1126" i="3"/>
  <c r="AJ1125" i="3"/>
  <c r="AJ1124" i="3"/>
  <c r="AJ1123" i="3"/>
  <c r="AJ1122" i="3"/>
  <c r="AJ1121" i="3"/>
  <c r="AJ1120" i="3"/>
  <c r="AJ1119" i="3"/>
  <c r="AJ1118" i="3"/>
  <c r="AJ1117" i="3"/>
  <c r="AJ1116" i="3"/>
  <c r="AJ1115" i="3"/>
  <c r="AJ1114" i="3"/>
  <c r="AJ1113" i="3"/>
  <c r="AJ1112" i="3"/>
  <c r="AJ1111" i="3"/>
  <c r="AJ1110" i="3"/>
  <c r="AJ1109" i="3"/>
  <c r="AJ1108" i="3"/>
  <c r="AJ1107" i="3"/>
  <c r="AJ1106" i="3"/>
  <c r="AJ1105" i="3"/>
  <c r="AJ1104" i="3"/>
  <c r="AJ1103" i="3"/>
  <c r="AJ1102" i="3"/>
  <c r="AJ1101" i="3"/>
  <c r="AJ1100" i="3"/>
  <c r="AJ1099" i="3"/>
  <c r="AJ1098" i="3"/>
  <c r="AJ1097" i="3"/>
  <c r="AJ1096" i="3"/>
  <c r="AJ1095" i="3"/>
  <c r="AJ1094" i="3"/>
  <c r="AJ1093" i="3"/>
  <c r="AJ1092" i="3"/>
  <c r="AJ1091" i="3"/>
  <c r="AJ1090" i="3"/>
  <c r="AJ1089" i="3"/>
  <c r="AJ1088" i="3"/>
  <c r="AJ1087" i="3"/>
  <c r="AJ1086" i="3"/>
  <c r="AJ1085" i="3"/>
  <c r="AJ1084" i="3"/>
  <c r="AJ1083" i="3"/>
  <c r="AJ1082" i="3"/>
  <c r="AJ1081" i="3"/>
  <c r="AJ1080" i="3"/>
  <c r="AJ1079" i="3"/>
  <c r="AJ1078" i="3"/>
  <c r="AJ1077" i="3"/>
  <c r="AJ1076" i="3"/>
  <c r="AJ1075" i="3"/>
  <c r="AJ1074" i="3"/>
  <c r="AJ1073" i="3"/>
  <c r="AJ1072" i="3"/>
  <c r="AJ1071" i="3"/>
  <c r="AJ1070" i="3"/>
  <c r="AJ1069" i="3"/>
  <c r="AJ1068" i="3"/>
  <c r="AJ1067" i="3"/>
  <c r="AJ1066" i="3"/>
  <c r="AJ1065" i="3"/>
  <c r="AJ1064" i="3"/>
  <c r="AJ1063" i="3"/>
  <c r="AJ1062" i="3"/>
  <c r="AJ1061" i="3"/>
  <c r="AJ1060" i="3"/>
  <c r="AJ1059" i="3"/>
  <c r="AJ1058" i="3"/>
  <c r="AJ1057" i="3"/>
  <c r="AJ1056" i="3"/>
  <c r="AJ1055" i="3"/>
  <c r="AJ1054" i="3"/>
  <c r="AJ1053" i="3"/>
  <c r="AJ1052" i="3"/>
  <c r="AJ1051" i="3"/>
  <c r="AJ1050" i="3"/>
  <c r="AJ1049" i="3"/>
  <c r="AJ1048" i="3"/>
  <c r="AJ1047" i="3"/>
  <c r="AJ1046" i="3"/>
  <c r="AJ1045" i="3"/>
  <c r="AJ1044" i="3"/>
  <c r="AJ1043" i="3"/>
  <c r="AJ1042" i="3"/>
  <c r="AJ1041" i="3"/>
  <c r="AJ1040" i="3"/>
  <c r="AJ1039" i="3"/>
  <c r="AJ1038" i="3"/>
  <c r="AJ1037" i="3"/>
  <c r="AJ1036" i="3"/>
  <c r="AJ1035" i="3"/>
  <c r="AJ1034" i="3"/>
  <c r="AJ1033" i="3"/>
  <c r="AJ1032" i="3"/>
  <c r="AJ1031" i="3"/>
  <c r="AJ1030" i="3"/>
  <c r="AJ1029" i="3"/>
  <c r="AJ1028" i="3"/>
  <c r="AJ1027" i="3"/>
  <c r="AJ1026" i="3"/>
  <c r="AJ1025" i="3"/>
  <c r="AJ1024" i="3"/>
  <c r="AJ1023" i="3"/>
  <c r="AJ1022" i="3"/>
  <c r="AJ1021" i="3"/>
  <c r="AJ1020" i="3"/>
  <c r="AJ1019" i="3"/>
  <c r="AJ1018" i="3"/>
  <c r="AJ1017" i="3"/>
  <c r="AJ1016" i="3"/>
  <c r="AJ1015" i="3"/>
  <c r="AJ1014" i="3"/>
  <c r="AJ10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AJ704" i="3"/>
  <c r="AJ703" i="3"/>
  <c r="AJ702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AJ689" i="3"/>
  <c r="AJ688" i="3"/>
  <c r="AJ687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AJ666" i="3"/>
  <c r="AJ665" i="3"/>
  <c r="AJ664" i="3"/>
  <c r="AJ663" i="3"/>
  <c r="AJ662" i="3"/>
  <c r="AJ661" i="3"/>
  <c r="AJ660" i="3"/>
  <c r="AJ659" i="3"/>
  <c r="AJ658" i="3"/>
  <c r="AJ657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AJ644" i="3"/>
  <c r="AJ643" i="3"/>
  <c r="AJ642" i="3"/>
  <c r="AJ641" i="3"/>
  <c r="AJ640" i="3"/>
  <c r="AJ639" i="3"/>
  <c r="AJ638" i="3"/>
  <c r="AJ637" i="3"/>
  <c r="AJ636" i="3"/>
  <c r="AJ635" i="3"/>
  <c r="AJ634" i="3"/>
  <c r="AJ633" i="3"/>
  <c r="AJ632" i="3"/>
  <c r="AJ631" i="3"/>
  <c r="AJ630" i="3"/>
  <c r="AJ629" i="3"/>
  <c r="AJ628" i="3"/>
  <c r="AJ627" i="3"/>
  <c r="AJ626" i="3"/>
  <c r="AJ625" i="3"/>
  <c r="AJ624" i="3"/>
  <c r="AJ623" i="3"/>
  <c r="AJ622" i="3"/>
  <c r="AJ621" i="3"/>
  <c r="AJ620" i="3"/>
  <c r="AJ619" i="3"/>
  <c r="AJ618" i="3"/>
  <c r="AJ617" i="3"/>
  <c r="AJ616" i="3"/>
  <c r="AJ615" i="3"/>
  <c r="AJ614" i="3"/>
  <c r="AJ613" i="3"/>
  <c r="AJ612" i="3"/>
  <c r="AJ611" i="3"/>
  <c r="AJ610" i="3"/>
  <c r="AJ609" i="3"/>
  <c r="AJ608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J592" i="3"/>
  <c r="AJ591" i="3"/>
  <c r="AJ590" i="3"/>
  <c r="AJ589" i="3"/>
  <c r="AJ588" i="3"/>
  <c r="AJ587" i="3"/>
  <c r="AJ586" i="3"/>
  <c r="AJ585" i="3"/>
  <c r="AJ584" i="3"/>
  <c r="AJ583" i="3"/>
  <c r="AJ582" i="3"/>
  <c r="AJ581" i="3"/>
  <c r="AJ580" i="3"/>
  <c r="AJ579" i="3"/>
  <c r="AJ578" i="3"/>
  <c r="AJ577" i="3"/>
  <c r="AJ576" i="3"/>
  <c r="AJ575" i="3"/>
  <c r="AJ574" i="3"/>
  <c r="AJ573" i="3"/>
  <c r="AJ572" i="3"/>
  <c r="AJ571" i="3"/>
  <c r="AJ570" i="3"/>
  <c r="AJ569" i="3"/>
  <c r="AJ568" i="3"/>
  <c r="AJ567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AJ554" i="3"/>
  <c r="AJ553" i="3"/>
  <c r="AJ552" i="3"/>
  <c r="AJ551" i="3"/>
  <c r="AJ550" i="3"/>
  <c r="AJ549" i="3"/>
  <c r="AJ548" i="3"/>
  <c r="AJ547" i="3"/>
  <c r="AJ546" i="3"/>
  <c r="AJ545" i="3"/>
  <c r="AJ544" i="3"/>
  <c r="AJ543" i="3"/>
  <c r="AJ542" i="3"/>
  <c r="AJ541" i="3"/>
  <c r="AJ540" i="3"/>
  <c r="AJ539" i="3"/>
  <c r="AJ538" i="3"/>
  <c r="AJ537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AJ506" i="3"/>
  <c r="AJ505" i="3"/>
  <c r="AJ504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AJ491" i="3"/>
  <c r="AJ490" i="3"/>
  <c r="AJ489" i="3"/>
  <c r="AJ488" i="3"/>
  <c r="AJ487" i="3"/>
  <c r="AJ486" i="3"/>
  <c r="AJ485" i="3"/>
  <c r="AJ484" i="3"/>
  <c r="AJ483" i="3"/>
  <c r="AJ482" i="3"/>
  <c r="AJ481" i="3"/>
  <c r="AJ480" i="3"/>
  <c r="AJ479" i="3"/>
  <c r="AJ478" i="3"/>
  <c r="AJ477" i="3"/>
  <c r="AJ476" i="3"/>
  <c r="AJ475" i="3"/>
  <c r="AJ474" i="3"/>
  <c r="AJ473" i="3"/>
  <c r="AJ472" i="3"/>
  <c r="AJ471" i="3"/>
  <c r="AJ470" i="3"/>
  <c r="AJ469" i="3"/>
  <c r="AJ468" i="3"/>
  <c r="AJ467" i="3"/>
  <c r="AJ466" i="3"/>
  <c r="AJ465" i="3"/>
  <c r="AJ464" i="3"/>
  <c r="AJ463" i="3"/>
  <c r="AJ462" i="3"/>
  <c r="AJ461" i="3"/>
  <c r="AJ460" i="3"/>
  <c r="AJ459" i="3"/>
  <c r="AJ458" i="3"/>
  <c r="AJ457" i="3"/>
  <c r="AJ456" i="3"/>
  <c r="AJ455" i="3"/>
  <c r="AJ454" i="3"/>
  <c r="AJ453" i="3"/>
  <c r="AJ452" i="3"/>
  <c r="AJ451" i="3"/>
  <c r="AJ450" i="3"/>
  <c r="AJ449" i="3"/>
  <c r="AJ448" i="3"/>
  <c r="AJ447" i="3"/>
  <c r="AJ446" i="3"/>
  <c r="AJ445" i="3"/>
  <c r="AJ444" i="3"/>
  <c r="AJ443" i="3"/>
  <c r="AJ442" i="3"/>
  <c r="AJ441" i="3"/>
  <c r="AJ440" i="3"/>
  <c r="AJ439" i="3"/>
  <c r="AJ438" i="3"/>
  <c r="AJ437" i="3"/>
  <c r="AJ436" i="3"/>
  <c r="AJ435" i="3"/>
  <c r="AJ434" i="3"/>
  <c r="AJ433" i="3"/>
  <c r="AJ432" i="3"/>
  <c r="AJ431" i="3"/>
  <c r="AJ430" i="3"/>
  <c r="AJ429" i="3"/>
  <c r="AJ428" i="3"/>
  <c r="AJ427" i="3"/>
  <c r="AJ426" i="3"/>
  <c r="AJ425" i="3"/>
  <c r="AJ424" i="3"/>
  <c r="AJ423" i="3"/>
  <c r="AJ422" i="3"/>
  <c r="AJ421" i="3"/>
  <c r="AJ420" i="3"/>
  <c r="AJ419" i="3"/>
  <c r="AJ418" i="3"/>
  <c r="AJ417" i="3"/>
  <c r="AJ416" i="3"/>
  <c r="AJ415" i="3"/>
  <c r="AJ414" i="3"/>
  <c r="AJ413" i="3"/>
  <c r="AJ412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7" i="3"/>
  <c r="AJ396" i="3"/>
  <c r="AJ395" i="3"/>
  <c r="AJ394" i="3"/>
  <c r="AJ393" i="3"/>
  <c r="AJ392" i="3"/>
  <c r="AJ391" i="3"/>
  <c r="AJ390" i="3"/>
  <c r="AJ389" i="3"/>
  <c r="AJ388" i="3"/>
  <c r="AJ387" i="3"/>
  <c r="AJ386" i="3"/>
  <c r="AJ385" i="3"/>
  <c r="AJ384" i="3"/>
  <c r="AJ383" i="3"/>
  <c r="AJ382" i="3"/>
  <c r="AJ381" i="3"/>
  <c r="AJ380" i="3"/>
  <c r="AJ379" i="3"/>
  <c r="AJ378" i="3"/>
  <c r="AJ377" i="3"/>
  <c r="AJ376" i="3"/>
  <c r="AJ375" i="3"/>
  <c r="AJ374" i="3"/>
  <c r="AJ373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5" i="3"/>
  <c r="AJ354" i="3"/>
  <c r="AJ353" i="3"/>
  <c r="AJ352" i="3"/>
  <c r="AJ351" i="3"/>
  <c r="AJ350" i="3"/>
  <c r="AJ349" i="3"/>
  <c r="AJ348" i="3"/>
  <c r="AJ347" i="3"/>
  <c r="AJ346" i="3"/>
  <c r="AJ345" i="3"/>
  <c r="AJ344" i="3"/>
  <c r="AJ343" i="3"/>
  <c r="AJ342" i="3"/>
  <c r="AJ341" i="3"/>
  <c r="AJ340" i="3"/>
  <c r="AJ339" i="3"/>
  <c r="AJ338" i="3"/>
  <c r="AJ337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9" i="3"/>
  <c r="AJ318" i="3"/>
  <c r="AJ317" i="3"/>
  <c r="AJ316" i="3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J276" i="3"/>
  <c r="AJ275" i="3"/>
  <c r="AJ274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7" i="3"/>
  <c r="AJ256" i="3"/>
  <c r="AJ255" i="3"/>
  <c r="AJ254" i="3"/>
  <c r="AJ253" i="3"/>
  <c r="AJ252" i="3"/>
  <c r="AJ251" i="3"/>
  <c r="AJ250" i="3"/>
  <c r="AJ249" i="3"/>
  <c r="AJ248" i="3"/>
  <c r="AJ247" i="3"/>
  <c r="AJ246" i="3"/>
  <c r="AJ245" i="3"/>
  <c r="AJ244" i="3"/>
  <c r="AJ243" i="3"/>
  <c r="AJ242" i="3"/>
  <c r="AJ241" i="3"/>
  <c r="AJ240" i="3"/>
  <c r="AJ239" i="3"/>
  <c r="AJ238" i="3"/>
  <c r="AJ237" i="3"/>
  <c r="AJ236" i="3"/>
  <c r="AJ235" i="3"/>
  <c r="AJ234" i="3"/>
  <c r="AJ233" i="3"/>
  <c r="AJ232" i="3"/>
  <c r="AJ231" i="3"/>
  <c r="AJ230" i="3"/>
  <c r="AJ229" i="3"/>
  <c r="AJ228" i="3"/>
  <c r="AJ227" i="3"/>
  <c r="AJ226" i="3"/>
  <c r="AJ225" i="3"/>
  <c r="AJ224" i="3"/>
  <c r="AJ223" i="3"/>
  <c r="AJ222" i="3"/>
  <c r="AJ221" i="3"/>
  <c r="AJ220" i="3"/>
  <c r="AJ219" i="3"/>
  <c r="AJ218" i="3"/>
  <c r="AJ217" i="3"/>
  <c r="AJ216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J2" i="3"/>
  <c r="AI1471" i="3"/>
  <c r="AI1470" i="3"/>
  <c r="AI1469" i="3"/>
  <c r="AI1468" i="3"/>
  <c r="AI1467" i="3"/>
  <c r="AI1466" i="3"/>
  <c r="AI1465" i="3"/>
  <c r="AI1464" i="3"/>
  <c r="AI1463" i="3"/>
  <c r="AI1462" i="3"/>
  <c r="AI1461" i="3"/>
  <c r="AI1460" i="3"/>
  <c r="AI1459" i="3"/>
  <c r="AI1458" i="3"/>
  <c r="AI1457" i="3"/>
  <c r="AI1456" i="3"/>
  <c r="AI1455" i="3"/>
  <c r="AI1454" i="3"/>
  <c r="AI1453" i="3"/>
  <c r="AI1452" i="3"/>
  <c r="AI1451" i="3"/>
  <c r="AI1450" i="3"/>
  <c r="AI1449" i="3"/>
  <c r="AI1448" i="3"/>
  <c r="AI1447" i="3"/>
  <c r="AI1446" i="3"/>
  <c r="AI1445" i="3"/>
  <c r="AI1444" i="3"/>
  <c r="AI1443" i="3"/>
  <c r="AI1442" i="3"/>
  <c r="AI1441" i="3"/>
  <c r="AI1440" i="3"/>
  <c r="AI1439" i="3"/>
  <c r="AI1438" i="3"/>
  <c r="AI1437" i="3"/>
  <c r="AI1436" i="3"/>
  <c r="AI1435" i="3"/>
  <c r="AI1434" i="3"/>
  <c r="AI1433" i="3"/>
  <c r="AI1432" i="3"/>
  <c r="AI1431" i="3"/>
  <c r="AI1430" i="3"/>
  <c r="AI1429" i="3"/>
  <c r="AI1428" i="3"/>
  <c r="AI1427" i="3"/>
  <c r="AI1426" i="3"/>
  <c r="AI1425" i="3"/>
  <c r="AI1424" i="3"/>
  <c r="AI1423" i="3"/>
  <c r="AI1422" i="3"/>
  <c r="AI1421" i="3"/>
  <c r="AI1420" i="3"/>
  <c r="AI1419" i="3"/>
  <c r="AI1418" i="3"/>
  <c r="AI1417" i="3"/>
  <c r="AI1416" i="3"/>
  <c r="AI1415" i="3"/>
  <c r="AI1414" i="3"/>
  <c r="AI1413" i="3"/>
  <c r="AI1412" i="3"/>
  <c r="AI1411" i="3"/>
  <c r="AI1410" i="3"/>
  <c r="AI1409" i="3"/>
  <c r="AI1408" i="3"/>
  <c r="AI1407" i="3"/>
  <c r="AI1406" i="3"/>
  <c r="AI1405" i="3"/>
  <c r="AI1404" i="3"/>
  <c r="AI1403" i="3"/>
  <c r="AI1402" i="3"/>
  <c r="AI1401" i="3"/>
  <c r="AI1400" i="3"/>
  <c r="AI1399" i="3"/>
  <c r="AI1398" i="3"/>
  <c r="AI1397" i="3"/>
  <c r="AI1396" i="3"/>
  <c r="AI1395" i="3"/>
  <c r="AI1394" i="3"/>
  <c r="AI1393" i="3"/>
  <c r="AI1392" i="3"/>
  <c r="AI1391" i="3"/>
  <c r="AI1390" i="3"/>
  <c r="AI1389" i="3"/>
  <c r="AI1388" i="3"/>
  <c r="AI1387" i="3"/>
  <c r="AI1386" i="3"/>
  <c r="AI1385" i="3"/>
  <c r="AI1384" i="3"/>
  <c r="AI1383" i="3"/>
  <c r="AI1382" i="3"/>
  <c r="AI1381" i="3"/>
  <c r="AI1380" i="3"/>
  <c r="AI1379" i="3"/>
  <c r="AI1378" i="3"/>
  <c r="AI1377" i="3"/>
  <c r="AI1376" i="3"/>
  <c r="AI1375" i="3"/>
  <c r="AI1374" i="3"/>
  <c r="AI1373" i="3"/>
  <c r="AI1372" i="3"/>
  <c r="AI1371" i="3"/>
  <c r="AI1370" i="3"/>
  <c r="AI1369" i="3"/>
  <c r="AI1368" i="3"/>
  <c r="AI1367" i="3"/>
  <c r="AI1366" i="3"/>
  <c r="AI1365" i="3"/>
  <c r="AI1364" i="3"/>
  <c r="AI1363" i="3"/>
  <c r="AI1362" i="3"/>
  <c r="AI1361" i="3"/>
  <c r="AI1360" i="3"/>
  <c r="AI1359" i="3"/>
  <c r="AI1358" i="3"/>
  <c r="AI1357" i="3"/>
  <c r="AI1356" i="3"/>
  <c r="AI1355" i="3"/>
  <c r="AI1354" i="3"/>
  <c r="AI1353" i="3"/>
  <c r="AI1352" i="3"/>
  <c r="AI1351" i="3"/>
  <c r="AI1350" i="3"/>
  <c r="AI1349" i="3"/>
  <c r="AI1348" i="3"/>
  <c r="AI1347" i="3"/>
  <c r="AI1346" i="3"/>
  <c r="AI1345" i="3"/>
  <c r="AI1344" i="3"/>
  <c r="AI1343" i="3"/>
  <c r="AI1342" i="3"/>
  <c r="AI1341" i="3"/>
  <c r="AI1340" i="3"/>
  <c r="AI1339" i="3"/>
  <c r="AI1338" i="3"/>
  <c r="AI1337" i="3"/>
  <c r="AI1336" i="3"/>
  <c r="AI1335" i="3"/>
  <c r="AI1334" i="3"/>
  <c r="AI1333" i="3"/>
  <c r="AI1332" i="3"/>
  <c r="AI1331" i="3"/>
  <c r="AI1330" i="3"/>
  <c r="AI1329" i="3"/>
  <c r="AI1328" i="3"/>
  <c r="AI1327" i="3"/>
  <c r="AI1326" i="3"/>
  <c r="AI1325" i="3"/>
  <c r="AI1324" i="3"/>
  <c r="AI1323" i="3"/>
  <c r="AI1322" i="3"/>
  <c r="AI1321" i="3"/>
  <c r="AI1320" i="3"/>
  <c r="AI1319" i="3"/>
  <c r="AI1318" i="3"/>
  <c r="AI1317" i="3"/>
  <c r="AI1316" i="3"/>
  <c r="AI1315" i="3"/>
  <c r="AI1314" i="3"/>
  <c r="AI1313" i="3"/>
  <c r="AI1312" i="3"/>
  <c r="AI1311" i="3"/>
  <c r="AI1310" i="3"/>
  <c r="AI1309" i="3"/>
  <c r="AI1308" i="3"/>
  <c r="AI1307" i="3"/>
  <c r="AI1306" i="3"/>
  <c r="AI1305" i="3"/>
  <c r="AI1304" i="3"/>
  <c r="AI1303" i="3"/>
  <c r="AI1302" i="3"/>
  <c r="AI1301" i="3"/>
  <c r="AI1300" i="3"/>
  <c r="AI1299" i="3"/>
  <c r="AI1298" i="3"/>
  <c r="AI1297" i="3"/>
  <c r="AI1296" i="3"/>
  <c r="AI1295" i="3"/>
  <c r="AI1294" i="3"/>
  <c r="AI1293" i="3"/>
  <c r="AI1292" i="3"/>
  <c r="AI1291" i="3"/>
  <c r="AI1290" i="3"/>
  <c r="AI1289" i="3"/>
  <c r="AI1288" i="3"/>
  <c r="AI1287" i="3"/>
  <c r="AI1286" i="3"/>
  <c r="AI1285" i="3"/>
  <c r="AI1284" i="3"/>
  <c r="AI1283" i="3"/>
  <c r="AI1282" i="3"/>
  <c r="AI1281" i="3"/>
  <c r="AI1280" i="3"/>
  <c r="AI1279" i="3"/>
  <c r="AI1278" i="3"/>
  <c r="AI1277" i="3"/>
  <c r="AI1276" i="3"/>
  <c r="AI1275" i="3"/>
  <c r="AI1274" i="3"/>
  <c r="AI1273" i="3"/>
  <c r="AI1272" i="3"/>
  <c r="AI1271" i="3"/>
  <c r="AI1270" i="3"/>
  <c r="AI1269" i="3"/>
  <c r="AI1268" i="3"/>
  <c r="AI1267" i="3"/>
  <c r="AI1266" i="3"/>
  <c r="AI1265" i="3"/>
  <c r="AI1264" i="3"/>
  <c r="AI1263" i="3"/>
  <c r="AI1262" i="3"/>
  <c r="AI1261" i="3"/>
  <c r="AI1260" i="3"/>
  <c r="AI1259" i="3"/>
  <c r="AI1258" i="3"/>
  <c r="AI1257" i="3"/>
  <c r="AI1256" i="3"/>
  <c r="AI1255" i="3"/>
  <c r="AI1254" i="3"/>
  <c r="AI1253" i="3"/>
  <c r="AI1252" i="3"/>
  <c r="AI1251" i="3"/>
  <c r="AI1250" i="3"/>
  <c r="AI1249" i="3"/>
  <c r="AI1248" i="3"/>
  <c r="AI1247" i="3"/>
  <c r="AI1246" i="3"/>
  <c r="AI1245" i="3"/>
  <c r="AI1244" i="3"/>
  <c r="AI1243" i="3"/>
  <c r="AI1242" i="3"/>
  <c r="AI1241" i="3"/>
  <c r="AI1240" i="3"/>
  <c r="AI1239" i="3"/>
  <c r="AI1238" i="3"/>
  <c r="AI1237" i="3"/>
  <c r="AI1236" i="3"/>
  <c r="AI1235" i="3"/>
  <c r="AI1234" i="3"/>
  <c r="AI1233" i="3"/>
  <c r="AI1232" i="3"/>
  <c r="AI1231" i="3"/>
  <c r="AI1230" i="3"/>
  <c r="AI1229" i="3"/>
  <c r="AI1228" i="3"/>
  <c r="AI1227" i="3"/>
  <c r="AI1226" i="3"/>
  <c r="AI1225" i="3"/>
  <c r="AI1224" i="3"/>
  <c r="AI1223" i="3"/>
  <c r="AI1222" i="3"/>
  <c r="AI1221" i="3"/>
  <c r="AI1220" i="3"/>
  <c r="AI1219" i="3"/>
  <c r="AI1218" i="3"/>
  <c r="AI1217" i="3"/>
  <c r="AI1216" i="3"/>
  <c r="AI1215" i="3"/>
  <c r="AI1214" i="3"/>
  <c r="AI1213" i="3"/>
  <c r="AI1212" i="3"/>
  <c r="AI1211" i="3"/>
  <c r="AI1210" i="3"/>
  <c r="AI1209" i="3"/>
  <c r="AI1208" i="3"/>
  <c r="AI1207" i="3"/>
  <c r="AI1206" i="3"/>
  <c r="AI1205" i="3"/>
  <c r="AI1204" i="3"/>
  <c r="AI1203" i="3"/>
  <c r="AI1202" i="3"/>
  <c r="AI1201" i="3"/>
  <c r="AI1200" i="3"/>
  <c r="AI1199" i="3"/>
  <c r="AI1198" i="3"/>
  <c r="AI1197" i="3"/>
  <c r="AI1196" i="3"/>
  <c r="AI1195" i="3"/>
  <c r="AI1194" i="3"/>
  <c r="AI1193" i="3"/>
  <c r="AI1192" i="3"/>
  <c r="AI1191" i="3"/>
  <c r="AI1190" i="3"/>
  <c r="AI1189" i="3"/>
  <c r="AI1188" i="3"/>
  <c r="AI1187" i="3"/>
  <c r="AI1186" i="3"/>
  <c r="AI1185" i="3"/>
  <c r="AI1184" i="3"/>
  <c r="AI1183" i="3"/>
  <c r="AI1182" i="3"/>
  <c r="AI1181" i="3"/>
  <c r="AI1180" i="3"/>
  <c r="AI1179" i="3"/>
  <c r="AI1178" i="3"/>
  <c r="AI1177" i="3"/>
  <c r="AI1176" i="3"/>
  <c r="AI1175" i="3"/>
  <c r="AI1174" i="3"/>
  <c r="AI1173" i="3"/>
  <c r="AI1172" i="3"/>
  <c r="AI1171" i="3"/>
  <c r="AI1170" i="3"/>
  <c r="AI1169" i="3"/>
  <c r="AI1168" i="3"/>
  <c r="AI1167" i="3"/>
  <c r="AI1166" i="3"/>
  <c r="AI1165" i="3"/>
  <c r="AI1164" i="3"/>
  <c r="AI1163" i="3"/>
  <c r="AI1162" i="3"/>
  <c r="AI1161" i="3"/>
  <c r="AI1160" i="3"/>
  <c r="AI1159" i="3"/>
  <c r="AI1158" i="3"/>
  <c r="AI1157" i="3"/>
  <c r="AI1156" i="3"/>
  <c r="AI1155" i="3"/>
  <c r="AI1154" i="3"/>
  <c r="AI1153" i="3"/>
  <c r="AI1152" i="3"/>
  <c r="AI1151" i="3"/>
  <c r="AI1150" i="3"/>
  <c r="AI1149" i="3"/>
  <c r="AI1148" i="3"/>
  <c r="AI1147" i="3"/>
  <c r="AI1146" i="3"/>
  <c r="AI1145" i="3"/>
  <c r="AI1144" i="3"/>
  <c r="AI1143" i="3"/>
  <c r="AI1142" i="3"/>
  <c r="AI1141" i="3"/>
  <c r="AI1140" i="3"/>
  <c r="AI1139" i="3"/>
  <c r="AI1138" i="3"/>
  <c r="AI1137" i="3"/>
  <c r="AI1136" i="3"/>
  <c r="AI1135" i="3"/>
  <c r="AI1134" i="3"/>
  <c r="AI1133" i="3"/>
  <c r="AI1132" i="3"/>
  <c r="AI1131" i="3"/>
  <c r="AI1130" i="3"/>
  <c r="AI1129" i="3"/>
  <c r="AI1128" i="3"/>
  <c r="AI1127" i="3"/>
  <c r="AI1126" i="3"/>
  <c r="AI1125" i="3"/>
  <c r="AI1124" i="3"/>
  <c r="AI1123" i="3"/>
  <c r="AI1122" i="3"/>
  <c r="AI1121" i="3"/>
  <c r="AI1120" i="3"/>
  <c r="AI1119" i="3"/>
  <c r="AI1118" i="3"/>
  <c r="AI1117" i="3"/>
  <c r="AI1116" i="3"/>
  <c r="AI1115" i="3"/>
  <c r="AI1114" i="3"/>
  <c r="AI1113" i="3"/>
  <c r="AI1112" i="3"/>
  <c r="AI1111" i="3"/>
  <c r="AI1110" i="3"/>
  <c r="AI1109" i="3"/>
  <c r="AI1108" i="3"/>
  <c r="AI1107" i="3"/>
  <c r="AI1106" i="3"/>
  <c r="AI1105" i="3"/>
  <c r="AI1104" i="3"/>
  <c r="AI1103" i="3"/>
  <c r="AI1102" i="3"/>
  <c r="AI1101" i="3"/>
  <c r="AI1100" i="3"/>
  <c r="AI1099" i="3"/>
  <c r="AI1098" i="3"/>
  <c r="AI1097" i="3"/>
  <c r="AI1096" i="3"/>
  <c r="AI1095" i="3"/>
  <c r="AI1094" i="3"/>
  <c r="AI1093" i="3"/>
  <c r="AI1092" i="3"/>
  <c r="AI1091" i="3"/>
  <c r="AI1090" i="3"/>
  <c r="AI1089" i="3"/>
  <c r="AI1088" i="3"/>
  <c r="AI1087" i="3"/>
  <c r="AI1086" i="3"/>
  <c r="AI1085" i="3"/>
  <c r="AI1084" i="3"/>
  <c r="AI1083" i="3"/>
  <c r="AI1082" i="3"/>
  <c r="AI1081" i="3"/>
  <c r="AI1080" i="3"/>
  <c r="AI1079" i="3"/>
  <c r="AI1078" i="3"/>
  <c r="AI1077" i="3"/>
  <c r="AI1076" i="3"/>
  <c r="AI1075" i="3"/>
  <c r="AI1074" i="3"/>
  <c r="AI1073" i="3"/>
  <c r="AI1072" i="3"/>
  <c r="AI1071" i="3"/>
  <c r="AI1070" i="3"/>
  <c r="AI1069" i="3"/>
  <c r="AI1068" i="3"/>
  <c r="AI1067" i="3"/>
  <c r="AI1066" i="3"/>
  <c r="AI1065" i="3"/>
  <c r="AI1064" i="3"/>
  <c r="AI1063" i="3"/>
  <c r="AI1062" i="3"/>
  <c r="AI1061" i="3"/>
  <c r="AI1060" i="3"/>
  <c r="AI1059" i="3"/>
  <c r="AI1058" i="3"/>
  <c r="AI1057" i="3"/>
  <c r="AI1056" i="3"/>
  <c r="AI1055" i="3"/>
  <c r="AI1054" i="3"/>
  <c r="AI1053" i="3"/>
  <c r="AI1052" i="3"/>
  <c r="AI1051" i="3"/>
  <c r="AI1050" i="3"/>
  <c r="AI1049" i="3"/>
  <c r="AI1048" i="3"/>
  <c r="AI1047" i="3"/>
  <c r="AI1046" i="3"/>
  <c r="AI1045" i="3"/>
  <c r="AI1044" i="3"/>
  <c r="AI1043" i="3"/>
  <c r="AI1042" i="3"/>
  <c r="AI1041" i="3"/>
  <c r="AI1040" i="3"/>
  <c r="AI1039" i="3"/>
  <c r="AI1038" i="3"/>
  <c r="AI1037" i="3"/>
  <c r="AI1036" i="3"/>
  <c r="AI1035" i="3"/>
  <c r="AI1034" i="3"/>
  <c r="AI1033" i="3"/>
  <c r="AI1032" i="3"/>
  <c r="AI1031" i="3"/>
  <c r="AI1030" i="3"/>
  <c r="AI1029" i="3"/>
  <c r="AI1028" i="3"/>
  <c r="AI1027" i="3"/>
  <c r="AI1026" i="3"/>
  <c r="AI1025" i="3"/>
  <c r="AI1024" i="3"/>
  <c r="AI1023" i="3"/>
  <c r="AI1022" i="3"/>
  <c r="AI1021" i="3"/>
  <c r="AI1020" i="3"/>
  <c r="AI1019" i="3"/>
  <c r="AI1018" i="3"/>
  <c r="AI1017" i="3"/>
  <c r="AI1016" i="3"/>
  <c r="AI1015" i="3"/>
  <c r="AI1014" i="3"/>
  <c r="AI1013" i="3"/>
  <c r="AI1012" i="3"/>
  <c r="AI1011" i="3"/>
  <c r="AI1010" i="3"/>
  <c r="AI1009" i="3"/>
  <c r="AI1008" i="3"/>
  <c r="AI1007" i="3"/>
  <c r="AI1006" i="3"/>
  <c r="AI1005" i="3"/>
  <c r="AI1004" i="3"/>
  <c r="AI1003" i="3"/>
  <c r="AI1002" i="3"/>
  <c r="AI1001" i="3"/>
  <c r="AI1000" i="3"/>
  <c r="AI999" i="3"/>
  <c r="AI998" i="3"/>
  <c r="AI997" i="3"/>
  <c r="AI996" i="3"/>
  <c r="AI995" i="3"/>
  <c r="AI994" i="3"/>
  <c r="AI993" i="3"/>
  <c r="AI992" i="3"/>
  <c r="AI991" i="3"/>
  <c r="AI990" i="3"/>
  <c r="AI989" i="3"/>
  <c r="AI988" i="3"/>
  <c r="AI987" i="3"/>
  <c r="AI986" i="3"/>
  <c r="AI985" i="3"/>
  <c r="AI984" i="3"/>
  <c r="AI983" i="3"/>
  <c r="AI982" i="3"/>
  <c r="AI981" i="3"/>
  <c r="AI980" i="3"/>
  <c r="AI979" i="3"/>
  <c r="AI978" i="3"/>
  <c r="AI977" i="3"/>
  <c r="AI976" i="3"/>
  <c r="AI975" i="3"/>
  <c r="AI974" i="3"/>
  <c r="AI973" i="3"/>
  <c r="AI972" i="3"/>
  <c r="AI971" i="3"/>
  <c r="AI970" i="3"/>
  <c r="AI969" i="3"/>
  <c r="AI968" i="3"/>
  <c r="AI967" i="3"/>
  <c r="AI966" i="3"/>
  <c r="AI965" i="3"/>
  <c r="AI964" i="3"/>
  <c r="AI963" i="3"/>
  <c r="AI962" i="3"/>
  <c r="AI961" i="3"/>
  <c r="AI960" i="3"/>
  <c r="AI959" i="3"/>
  <c r="AI958" i="3"/>
  <c r="AI957" i="3"/>
  <c r="AI956" i="3"/>
  <c r="AI955" i="3"/>
  <c r="AI954" i="3"/>
  <c r="AI953" i="3"/>
  <c r="AI952" i="3"/>
  <c r="AI951" i="3"/>
  <c r="AI950" i="3"/>
  <c r="AI949" i="3"/>
  <c r="AI948" i="3"/>
  <c r="AI947" i="3"/>
  <c r="AI946" i="3"/>
  <c r="AI945" i="3"/>
  <c r="AI944" i="3"/>
  <c r="AI943" i="3"/>
  <c r="AI942" i="3"/>
  <c r="AI941" i="3"/>
  <c r="AI940" i="3"/>
  <c r="AI939" i="3"/>
  <c r="AI938" i="3"/>
  <c r="AI937" i="3"/>
  <c r="AI936" i="3"/>
  <c r="AI935" i="3"/>
  <c r="AI934" i="3"/>
  <c r="AI933" i="3"/>
  <c r="AI932" i="3"/>
  <c r="AI931" i="3"/>
  <c r="AI930" i="3"/>
  <c r="AI929" i="3"/>
  <c r="AI928" i="3"/>
  <c r="AI927" i="3"/>
  <c r="AI926" i="3"/>
  <c r="AI925" i="3"/>
  <c r="AI924" i="3"/>
  <c r="AI923" i="3"/>
  <c r="AI922" i="3"/>
  <c r="AI921" i="3"/>
  <c r="AI920" i="3"/>
  <c r="AI919" i="3"/>
  <c r="AI918" i="3"/>
  <c r="AI917" i="3"/>
  <c r="AI916" i="3"/>
  <c r="AI915" i="3"/>
  <c r="AI914" i="3"/>
  <c r="AI913" i="3"/>
  <c r="AI912" i="3"/>
  <c r="AI911" i="3"/>
  <c r="AI910" i="3"/>
  <c r="AI909" i="3"/>
  <c r="AI908" i="3"/>
  <c r="AI907" i="3"/>
  <c r="AI906" i="3"/>
  <c r="AI905" i="3"/>
  <c r="AI904" i="3"/>
  <c r="AI903" i="3"/>
  <c r="AI902" i="3"/>
  <c r="AI901" i="3"/>
  <c r="AI900" i="3"/>
  <c r="AI899" i="3"/>
  <c r="AI898" i="3"/>
  <c r="AI897" i="3"/>
  <c r="AI896" i="3"/>
  <c r="AI895" i="3"/>
  <c r="AI894" i="3"/>
  <c r="AI893" i="3"/>
  <c r="AI892" i="3"/>
  <c r="AI891" i="3"/>
  <c r="AI890" i="3"/>
  <c r="AI889" i="3"/>
  <c r="AI888" i="3"/>
  <c r="AI887" i="3"/>
  <c r="AI886" i="3"/>
  <c r="AI885" i="3"/>
  <c r="AI884" i="3"/>
  <c r="AI883" i="3"/>
  <c r="AI882" i="3"/>
  <c r="AI881" i="3"/>
  <c r="AI880" i="3"/>
  <c r="AI879" i="3"/>
  <c r="AI878" i="3"/>
  <c r="AI877" i="3"/>
  <c r="AI876" i="3"/>
  <c r="AI875" i="3"/>
  <c r="AI874" i="3"/>
  <c r="AI873" i="3"/>
  <c r="AI872" i="3"/>
  <c r="AI871" i="3"/>
  <c r="AI870" i="3"/>
  <c r="AI869" i="3"/>
  <c r="AI868" i="3"/>
  <c r="AI867" i="3"/>
  <c r="AI866" i="3"/>
  <c r="AI865" i="3"/>
  <c r="AI864" i="3"/>
  <c r="AI863" i="3"/>
  <c r="AI862" i="3"/>
  <c r="AI861" i="3"/>
  <c r="AI860" i="3"/>
  <c r="AI859" i="3"/>
  <c r="AI858" i="3"/>
  <c r="AI857" i="3"/>
  <c r="AI856" i="3"/>
  <c r="AI855" i="3"/>
  <c r="AI854" i="3"/>
  <c r="AI853" i="3"/>
  <c r="AI852" i="3"/>
  <c r="AI851" i="3"/>
  <c r="AI850" i="3"/>
  <c r="AI849" i="3"/>
  <c r="AI848" i="3"/>
  <c r="AI847" i="3"/>
  <c r="AI846" i="3"/>
  <c r="AI845" i="3"/>
  <c r="AI844" i="3"/>
  <c r="AI843" i="3"/>
  <c r="AI842" i="3"/>
  <c r="AI841" i="3"/>
  <c r="AI840" i="3"/>
  <c r="AI839" i="3"/>
  <c r="AI838" i="3"/>
  <c r="AI837" i="3"/>
  <c r="AI836" i="3"/>
  <c r="AI835" i="3"/>
  <c r="AI834" i="3"/>
  <c r="AI833" i="3"/>
  <c r="AI832" i="3"/>
  <c r="AI831" i="3"/>
  <c r="AI830" i="3"/>
  <c r="AI829" i="3"/>
  <c r="AI828" i="3"/>
  <c r="AI827" i="3"/>
  <c r="AI826" i="3"/>
  <c r="AI825" i="3"/>
  <c r="AI824" i="3"/>
  <c r="AI823" i="3"/>
  <c r="AI822" i="3"/>
  <c r="AI821" i="3"/>
  <c r="AI820" i="3"/>
  <c r="AI819" i="3"/>
  <c r="AI818" i="3"/>
  <c r="AI817" i="3"/>
  <c r="AI816" i="3"/>
  <c r="AI815" i="3"/>
  <c r="AI814" i="3"/>
  <c r="AI813" i="3"/>
  <c r="AI812" i="3"/>
  <c r="AI811" i="3"/>
  <c r="AI810" i="3"/>
  <c r="AI809" i="3"/>
  <c r="AI808" i="3"/>
  <c r="AI807" i="3"/>
  <c r="AI806" i="3"/>
  <c r="AI805" i="3"/>
  <c r="AI804" i="3"/>
  <c r="AI803" i="3"/>
  <c r="AI802" i="3"/>
  <c r="AI801" i="3"/>
  <c r="AI800" i="3"/>
  <c r="AI799" i="3"/>
  <c r="AI798" i="3"/>
  <c r="AI797" i="3"/>
  <c r="AI796" i="3"/>
  <c r="AI795" i="3"/>
  <c r="AI794" i="3"/>
  <c r="AI793" i="3"/>
  <c r="AI792" i="3"/>
  <c r="AI791" i="3"/>
  <c r="AI790" i="3"/>
  <c r="AI789" i="3"/>
  <c r="AI788" i="3"/>
  <c r="AI787" i="3"/>
  <c r="AI786" i="3"/>
  <c r="AI785" i="3"/>
  <c r="AI784" i="3"/>
  <c r="AI783" i="3"/>
  <c r="AI782" i="3"/>
  <c r="AI781" i="3"/>
  <c r="AI780" i="3"/>
  <c r="AI779" i="3"/>
  <c r="AI778" i="3"/>
  <c r="AI777" i="3"/>
  <c r="AI776" i="3"/>
  <c r="AI775" i="3"/>
  <c r="AI774" i="3"/>
  <c r="AI773" i="3"/>
  <c r="AI772" i="3"/>
  <c r="AI771" i="3"/>
  <c r="AI770" i="3"/>
  <c r="AI769" i="3"/>
  <c r="AI768" i="3"/>
  <c r="AI767" i="3"/>
  <c r="AI766" i="3"/>
  <c r="AI765" i="3"/>
  <c r="AI764" i="3"/>
  <c r="AI763" i="3"/>
  <c r="AI762" i="3"/>
  <c r="AI761" i="3"/>
  <c r="AI760" i="3"/>
  <c r="AI759" i="3"/>
  <c r="AI758" i="3"/>
  <c r="AI757" i="3"/>
  <c r="AI756" i="3"/>
  <c r="AI755" i="3"/>
  <c r="AI754" i="3"/>
  <c r="AI753" i="3"/>
  <c r="AI752" i="3"/>
  <c r="AI751" i="3"/>
  <c r="AI750" i="3"/>
  <c r="AI749" i="3"/>
  <c r="AI748" i="3"/>
  <c r="AI747" i="3"/>
  <c r="AI746" i="3"/>
  <c r="AI745" i="3"/>
  <c r="AI744" i="3"/>
  <c r="AI743" i="3"/>
  <c r="AI742" i="3"/>
  <c r="AI741" i="3"/>
  <c r="AI740" i="3"/>
  <c r="AI739" i="3"/>
  <c r="AI738" i="3"/>
  <c r="AI737" i="3"/>
  <c r="AI736" i="3"/>
  <c r="AI735" i="3"/>
  <c r="AI734" i="3"/>
  <c r="AI733" i="3"/>
  <c r="AI732" i="3"/>
  <c r="AI731" i="3"/>
  <c r="AI730" i="3"/>
  <c r="AI729" i="3"/>
  <c r="AI728" i="3"/>
  <c r="AI727" i="3"/>
  <c r="AI726" i="3"/>
  <c r="AI725" i="3"/>
  <c r="AI724" i="3"/>
  <c r="AI723" i="3"/>
  <c r="AI722" i="3"/>
  <c r="AI721" i="3"/>
  <c r="AI720" i="3"/>
  <c r="AI719" i="3"/>
  <c r="AI718" i="3"/>
  <c r="AI717" i="3"/>
  <c r="AI716" i="3"/>
  <c r="AI715" i="3"/>
  <c r="AI714" i="3"/>
  <c r="AI713" i="3"/>
  <c r="AI712" i="3"/>
  <c r="AI711" i="3"/>
  <c r="AI710" i="3"/>
  <c r="AI709" i="3"/>
  <c r="AI708" i="3"/>
  <c r="AI707" i="3"/>
  <c r="AI706" i="3"/>
  <c r="AI705" i="3"/>
  <c r="AI704" i="3"/>
  <c r="AI703" i="3"/>
  <c r="AI702" i="3"/>
  <c r="AI701" i="3"/>
  <c r="AI700" i="3"/>
  <c r="AI699" i="3"/>
  <c r="AI698" i="3"/>
  <c r="AI697" i="3"/>
  <c r="AI696" i="3"/>
  <c r="AI695" i="3"/>
  <c r="AI694" i="3"/>
  <c r="AI693" i="3"/>
  <c r="AI692" i="3"/>
  <c r="AI691" i="3"/>
  <c r="AI690" i="3"/>
  <c r="AI689" i="3"/>
  <c r="AI688" i="3"/>
  <c r="AI687" i="3"/>
  <c r="AI686" i="3"/>
  <c r="AI685" i="3"/>
  <c r="AI684" i="3"/>
  <c r="AI683" i="3"/>
  <c r="AI682" i="3"/>
  <c r="AI681" i="3"/>
  <c r="AI680" i="3"/>
  <c r="AI679" i="3"/>
  <c r="AI678" i="3"/>
  <c r="AI677" i="3"/>
  <c r="AI676" i="3"/>
  <c r="AI675" i="3"/>
  <c r="AI674" i="3"/>
  <c r="AI673" i="3"/>
  <c r="AI672" i="3"/>
  <c r="AI671" i="3"/>
  <c r="AI670" i="3"/>
  <c r="AI669" i="3"/>
  <c r="AI668" i="3"/>
  <c r="AI667" i="3"/>
  <c r="AI666" i="3"/>
  <c r="AI665" i="3"/>
  <c r="AI664" i="3"/>
  <c r="AI663" i="3"/>
  <c r="AI662" i="3"/>
  <c r="AI661" i="3"/>
  <c r="AI660" i="3"/>
  <c r="AI659" i="3"/>
  <c r="AI658" i="3"/>
  <c r="AI657" i="3"/>
  <c r="AI656" i="3"/>
  <c r="AI655" i="3"/>
  <c r="AI654" i="3"/>
  <c r="AI653" i="3"/>
  <c r="AI652" i="3"/>
  <c r="AI651" i="3"/>
  <c r="AI650" i="3"/>
  <c r="AI649" i="3"/>
  <c r="AI648" i="3"/>
  <c r="AI647" i="3"/>
  <c r="AI646" i="3"/>
  <c r="AI645" i="3"/>
  <c r="AI644" i="3"/>
  <c r="AI643" i="3"/>
  <c r="AI642" i="3"/>
  <c r="AI641" i="3"/>
  <c r="AI640" i="3"/>
  <c r="AI639" i="3"/>
  <c r="AI638" i="3"/>
  <c r="AI637" i="3"/>
  <c r="AI636" i="3"/>
  <c r="AI635" i="3"/>
  <c r="AI634" i="3"/>
  <c r="AI633" i="3"/>
  <c r="AI632" i="3"/>
  <c r="AI631" i="3"/>
  <c r="AI630" i="3"/>
  <c r="AI629" i="3"/>
  <c r="AI628" i="3"/>
  <c r="AI627" i="3"/>
  <c r="AI626" i="3"/>
  <c r="AI625" i="3"/>
  <c r="AI624" i="3"/>
  <c r="AI623" i="3"/>
  <c r="AI622" i="3"/>
  <c r="AI621" i="3"/>
  <c r="AI620" i="3"/>
  <c r="AI619" i="3"/>
  <c r="AI618" i="3"/>
  <c r="AI617" i="3"/>
  <c r="AI616" i="3"/>
  <c r="AI615" i="3"/>
  <c r="AI614" i="3"/>
  <c r="AI613" i="3"/>
  <c r="AI612" i="3"/>
  <c r="AI611" i="3"/>
  <c r="AI610" i="3"/>
  <c r="AI609" i="3"/>
  <c r="AI608" i="3"/>
  <c r="AI607" i="3"/>
  <c r="AI606" i="3"/>
  <c r="AI605" i="3"/>
  <c r="AI604" i="3"/>
  <c r="AI603" i="3"/>
  <c r="AI602" i="3"/>
  <c r="AI601" i="3"/>
  <c r="AI600" i="3"/>
  <c r="AI599" i="3"/>
  <c r="AI598" i="3"/>
  <c r="AI597" i="3"/>
  <c r="AI596" i="3"/>
  <c r="AI595" i="3"/>
  <c r="AI594" i="3"/>
  <c r="AI593" i="3"/>
  <c r="AI592" i="3"/>
  <c r="AI591" i="3"/>
  <c r="AI590" i="3"/>
  <c r="AI589" i="3"/>
  <c r="AI588" i="3"/>
  <c r="AI587" i="3"/>
  <c r="AI586" i="3"/>
  <c r="AI585" i="3"/>
  <c r="AI584" i="3"/>
  <c r="AI583" i="3"/>
  <c r="AI582" i="3"/>
  <c r="AI581" i="3"/>
  <c r="AI580" i="3"/>
  <c r="AI579" i="3"/>
  <c r="AI578" i="3"/>
  <c r="AI577" i="3"/>
  <c r="AI576" i="3"/>
  <c r="AI575" i="3"/>
  <c r="AI574" i="3"/>
  <c r="AI573" i="3"/>
  <c r="AI572" i="3"/>
  <c r="AI571" i="3"/>
  <c r="AI570" i="3"/>
  <c r="AI569" i="3"/>
  <c r="AI568" i="3"/>
  <c r="AI567" i="3"/>
  <c r="AI566" i="3"/>
  <c r="AI565" i="3"/>
  <c r="AI564" i="3"/>
  <c r="AI563" i="3"/>
  <c r="AI562" i="3"/>
  <c r="AI561" i="3"/>
  <c r="AI560" i="3"/>
  <c r="AI559" i="3"/>
  <c r="AI558" i="3"/>
  <c r="AI557" i="3"/>
  <c r="AI556" i="3"/>
  <c r="AI555" i="3"/>
  <c r="AI554" i="3"/>
  <c r="AI553" i="3"/>
  <c r="AI552" i="3"/>
  <c r="AI551" i="3"/>
  <c r="AI550" i="3"/>
  <c r="AI549" i="3"/>
  <c r="AI548" i="3"/>
  <c r="AI547" i="3"/>
  <c r="AI546" i="3"/>
  <c r="AI545" i="3"/>
  <c r="AI544" i="3"/>
  <c r="AI543" i="3"/>
  <c r="AI542" i="3"/>
  <c r="AI541" i="3"/>
  <c r="AI540" i="3"/>
  <c r="AI539" i="3"/>
  <c r="AI538" i="3"/>
  <c r="AI537" i="3"/>
  <c r="AI536" i="3"/>
  <c r="AI535" i="3"/>
  <c r="AI534" i="3"/>
  <c r="AI533" i="3"/>
  <c r="AI532" i="3"/>
  <c r="AI531" i="3"/>
  <c r="AI530" i="3"/>
  <c r="AI529" i="3"/>
  <c r="AI528" i="3"/>
  <c r="AI527" i="3"/>
  <c r="AI526" i="3"/>
  <c r="AI525" i="3"/>
  <c r="AI524" i="3"/>
  <c r="AI523" i="3"/>
  <c r="AI522" i="3"/>
  <c r="AI521" i="3"/>
  <c r="AI520" i="3"/>
  <c r="AI519" i="3"/>
  <c r="AI518" i="3"/>
  <c r="AI517" i="3"/>
  <c r="AI516" i="3"/>
  <c r="AI515" i="3"/>
  <c r="AI514" i="3"/>
  <c r="AI513" i="3"/>
  <c r="AI512" i="3"/>
  <c r="AI511" i="3"/>
  <c r="AI510" i="3"/>
  <c r="AI509" i="3"/>
  <c r="AI508" i="3"/>
  <c r="AI507" i="3"/>
  <c r="AI506" i="3"/>
  <c r="AI505" i="3"/>
  <c r="AI504" i="3"/>
  <c r="AI503" i="3"/>
  <c r="AI502" i="3"/>
  <c r="AI501" i="3"/>
  <c r="AI500" i="3"/>
  <c r="AI499" i="3"/>
  <c r="AI498" i="3"/>
  <c r="AI497" i="3"/>
  <c r="AI496" i="3"/>
  <c r="AI495" i="3"/>
  <c r="AI494" i="3"/>
  <c r="AI493" i="3"/>
  <c r="AI492" i="3"/>
  <c r="AI491" i="3"/>
  <c r="AI490" i="3"/>
  <c r="AI489" i="3"/>
  <c r="AI488" i="3"/>
  <c r="AI487" i="3"/>
  <c r="AI486" i="3"/>
  <c r="AI485" i="3"/>
  <c r="AI484" i="3"/>
  <c r="AI483" i="3"/>
  <c r="AI482" i="3"/>
  <c r="AI481" i="3"/>
  <c r="AI480" i="3"/>
  <c r="AI479" i="3"/>
  <c r="AI478" i="3"/>
  <c r="AI477" i="3"/>
  <c r="AI476" i="3"/>
  <c r="AI475" i="3"/>
  <c r="AI474" i="3"/>
  <c r="AI473" i="3"/>
  <c r="AI472" i="3"/>
  <c r="AI471" i="3"/>
  <c r="AI470" i="3"/>
  <c r="AI469" i="3"/>
  <c r="AI468" i="3"/>
  <c r="AI467" i="3"/>
  <c r="AI466" i="3"/>
  <c r="AI465" i="3"/>
  <c r="AI464" i="3"/>
  <c r="AI463" i="3"/>
  <c r="AI462" i="3"/>
  <c r="AI461" i="3"/>
  <c r="AI460" i="3"/>
  <c r="AI459" i="3"/>
  <c r="AI458" i="3"/>
  <c r="AI457" i="3"/>
  <c r="AI456" i="3"/>
  <c r="AI455" i="3"/>
  <c r="AI454" i="3"/>
  <c r="AI453" i="3"/>
  <c r="AI452" i="3"/>
  <c r="AI451" i="3"/>
  <c r="AI450" i="3"/>
  <c r="AI449" i="3"/>
  <c r="AI448" i="3"/>
  <c r="AI447" i="3"/>
  <c r="AI446" i="3"/>
  <c r="AI445" i="3"/>
  <c r="AI444" i="3"/>
  <c r="AI443" i="3"/>
  <c r="AI442" i="3"/>
  <c r="AI441" i="3"/>
  <c r="AI440" i="3"/>
  <c r="AI439" i="3"/>
  <c r="AI438" i="3"/>
  <c r="AI437" i="3"/>
  <c r="AI436" i="3"/>
  <c r="AI435" i="3"/>
  <c r="AI434" i="3"/>
  <c r="AI433" i="3"/>
  <c r="AI432" i="3"/>
  <c r="AI431" i="3"/>
  <c r="AI430" i="3"/>
  <c r="AI429" i="3"/>
  <c r="AI428" i="3"/>
  <c r="AI427" i="3"/>
  <c r="AI426" i="3"/>
  <c r="AI425" i="3"/>
  <c r="AI424" i="3"/>
  <c r="AI423" i="3"/>
  <c r="AI422" i="3"/>
  <c r="AI421" i="3"/>
  <c r="AI420" i="3"/>
  <c r="AI419" i="3"/>
  <c r="AI418" i="3"/>
  <c r="AI417" i="3"/>
  <c r="AI416" i="3"/>
  <c r="AI415" i="3"/>
  <c r="AI414" i="3"/>
  <c r="AI413" i="3"/>
  <c r="AI412" i="3"/>
  <c r="AI411" i="3"/>
  <c r="AI410" i="3"/>
  <c r="AI409" i="3"/>
  <c r="AI408" i="3"/>
  <c r="AI407" i="3"/>
  <c r="AI406" i="3"/>
  <c r="AI405" i="3"/>
  <c r="AI404" i="3"/>
  <c r="AI403" i="3"/>
  <c r="AI402" i="3"/>
  <c r="AI401" i="3"/>
  <c r="AI400" i="3"/>
  <c r="AI399" i="3"/>
  <c r="AI398" i="3"/>
  <c r="AI397" i="3"/>
  <c r="AI396" i="3"/>
  <c r="AI395" i="3"/>
  <c r="AI394" i="3"/>
  <c r="AI393" i="3"/>
  <c r="AI392" i="3"/>
  <c r="AI391" i="3"/>
  <c r="AI390" i="3"/>
  <c r="AI389" i="3"/>
  <c r="AI388" i="3"/>
  <c r="AI387" i="3"/>
  <c r="AI386" i="3"/>
  <c r="AI385" i="3"/>
  <c r="AI384" i="3"/>
  <c r="AI383" i="3"/>
  <c r="AI382" i="3"/>
  <c r="AI381" i="3"/>
  <c r="AI380" i="3"/>
  <c r="AI379" i="3"/>
  <c r="AI378" i="3"/>
  <c r="AI377" i="3"/>
  <c r="AI376" i="3"/>
  <c r="AI375" i="3"/>
  <c r="AI374" i="3"/>
  <c r="AI373" i="3"/>
  <c r="AI372" i="3"/>
  <c r="AI371" i="3"/>
  <c r="AI370" i="3"/>
  <c r="AI369" i="3"/>
  <c r="AI368" i="3"/>
  <c r="AI367" i="3"/>
  <c r="AI366" i="3"/>
  <c r="AI365" i="3"/>
  <c r="AI364" i="3"/>
  <c r="AI363" i="3"/>
  <c r="AI362" i="3"/>
  <c r="AI361" i="3"/>
  <c r="AI360" i="3"/>
  <c r="AI359" i="3"/>
  <c r="AI358" i="3"/>
  <c r="AI357" i="3"/>
  <c r="AI356" i="3"/>
  <c r="AI355" i="3"/>
  <c r="AI354" i="3"/>
  <c r="AI353" i="3"/>
  <c r="AI352" i="3"/>
  <c r="AI351" i="3"/>
  <c r="AI350" i="3"/>
  <c r="AI349" i="3"/>
  <c r="AI348" i="3"/>
  <c r="AI347" i="3"/>
  <c r="AI346" i="3"/>
  <c r="AI345" i="3"/>
  <c r="AI344" i="3"/>
  <c r="AI343" i="3"/>
  <c r="AI342" i="3"/>
  <c r="AI341" i="3"/>
  <c r="AI340" i="3"/>
  <c r="AI339" i="3"/>
  <c r="AI338" i="3"/>
  <c r="AI337" i="3"/>
  <c r="AI336" i="3"/>
  <c r="AI335" i="3"/>
  <c r="AI334" i="3"/>
  <c r="AI333" i="3"/>
  <c r="AI332" i="3"/>
  <c r="AI331" i="3"/>
  <c r="AI330" i="3"/>
  <c r="AI329" i="3"/>
  <c r="AI328" i="3"/>
  <c r="AI327" i="3"/>
  <c r="AI326" i="3"/>
  <c r="AI325" i="3"/>
  <c r="AI324" i="3"/>
  <c r="AI323" i="3"/>
  <c r="AI322" i="3"/>
  <c r="AI321" i="3"/>
  <c r="AI320" i="3"/>
  <c r="AI319" i="3"/>
  <c r="AI318" i="3"/>
  <c r="AI317" i="3"/>
  <c r="AI316" i="3"/>
  <c r="AI315" i="3"/>
  <c r="AI314" i="3"/>
  <c r="AI313" i="3"/>
  <c r="AI312" i="3"/>
  <c r="AI311" i="3"/>
  <c r="AI310" i="3"/>
  <c r="AI309" i="3"/>
  <c r="AI308" i="3"/>
  <c r="AI307" i="3"/>
  <c r="AI306" i="3"/>
  <c r="AI305" i="3"/>
  <c r="AI304" i="3"/>
  <c r="AI303" i="3"/>
  <c r="AI302" i="3"/>
  <c r="AI301" i="3"/>
  <c r="AI300" i="3"/>
  <c r="AI299" i="3"/>
  <c r="AI298" i="3"/>
  <c r="AI297" i="3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284" i="3"/>
  <c r="AI283" i="3"/>
  <c r="AI282" i="3"/>
  <c r="AI281" i="3"/>
  <c r="AI280" i="3"/>
  <c r="AI279" i="3"/>
  <c r="AI278" i="3"/>
  <c r="AI277" i="3"/>
  <c r="AI276" i="3"/>
  <c r="AI275" i="3"/>
  <c r="AI274" i="3"/>
  <c r="AI273" i="3"/>
  <c r="AI272" i="3"/>
  <c r="AI271" i="3"/>
  <c r="AI270" i="3"/>
  <c r="AI269" i="3"/>
  <c r="AI268" i="3"/>
  <c r="AI267" i="3"/>
  <c r="AI266" i="3"/>
  <c r="AI265" i="3"/>
  <c r="AI264" i="3"/>
  <c r="AI263" i="3"/>
  <c r="AI262" i="3"/>
  <c r="AI261" i="3"/>
  <c r="AI260" i="3"/>
  <c r="AI259" i="3"/>
  <c r="AI258" i="3"/>
  <c r="AI257" i="3"/>
  <c r="AI256" i="3"/>
  <c r="AI255" i="3"/>
  <c r="AI254" i="3"/>
  <c r="AI253" i="3"/>
  <c r="AI252" i="3"/>
  <c r="AI251" i="3"/>
  <c r="AI250" i="3"/>
  <c r="AI249" i="3"/>
  <c r="AI248" i="3"/>
  <c r="AI247" i="3"/>
  <c r="AI246" i="3"/>
  <c r="AI245" i="3"/>
  <c r="AI244" i="3"/>
  <c r="AI243" i="3"/>
  <c r="AI242" i="3"/>
  <c r="AI241" i="3"/>
  <c r="AI240" i="3"/>
  <c r="AI239" i="3"/>
  <c r="AI238" i="3"/>
  <c r="AI237" i="3"/>
  <c r="AI236" i="3"/>
  <c r="AI235" i="3"/>
  <c r="AI234" i="3"/>
  <c r="AI233" i="3"/>
  <c r="AI232" i="3"/>
  <c r="AI231" i="3"/>
  <c r="AI230" i="3"/>
  <c r="AI229" i="3"/>
  <c r="AI228" i="3"/>
  <c r="AI227" i="3"/>
  <c r="AI226" i="3"/>
  <c r="AI225" i="3"/>
  <c r="AI224" i="3"/>
  <c r="AI223" i="3"/>
  <c r="AI222" i="3"/>
  <c r="AI221" i="3"/>
  <c r="AI220" i="3"/>
  <c r="AI219" i="3"/>
  <c r="AI218" i="3"/>
  <c r="AI217" i="3"/>
  <c r="AI216" i="3"/>
  <c r="AI215" i="3"/>
  <c r="AI214" i="3"/>
  <c r="AI213" i="3"/>
  <c r="AI212" i="3"/>
  <c r="AI211" i="3"/>
  <c r="AI210" i="3"/>
  <c r="AI209" i="3"/>
  <c r="AI208" i="3"/>
  <c r="AI207" i="3"/>
  <c r="AI206" i="3"/>
  <c r="AI205" i="3"/>
  <c r="AI204" i="3"/>
  <c r="AI203" i="3"/>
  <c r="AI202" i="3"/>
  <c r="AI201" i="3"/>
  <c r="AI200" i="3"/>
  <c r="AI199" i="3"/>
  <c r="AI198" i="3"/>
  <c r="AI197" i="3"/>
  <c r="AI196" i="3"/>
  <c r="AI195" i="3"/>
  <c r="AI194" i="3"/>
  <c r="AI193" i="3"/>
  <c r="AI192" i="3"/>
  <c r="AI191" i="3"/>
  <c r="AI190" i="3"/>
  <c r="AI189" i="3"/>
  <c r="AI188" i="3"/>
  <c r="AI187" i="3"/>
  <c r="AI186" i="3"/>
  <c r="AI185" i="3"/>
  <c r="AI184" i="3"/>
  <c r="AI183" i="3"/>
  <c r="AI182" i="3"/>
  <c r="AI181" i="3"/>
  <c r="AI180" i="3"/>
  <c r="AI179" i="3"/>
  <c r="AI178" i="3"/>
  <c r="AI177" i="3"/>
  <c r="AI176" i="3"/>
  <c r="AI175" i="3"/>
  <c r="AI174" i="3"/>
  <c r="AI173" i="3"/>
  <c r="AI172" i="3"/>
  <c r="AI171" i="3"/>
  <c r="AI170" i="3"/>
  <c r="AI169" i="3"/>
  <c r="AI168" i="3"/>
  <c r="AI167" i="3"/>
  <c r="AI166" i="3"/>
  <c r="AI165" i="3"/>
  <c r="AI164" i="3"/>
  <c r="AI163" i="3"/>
  <c r="AI162" i="3"/>
  <c r="AI161" i="3"/>
  <c r="AI160" i="3"/>
  <c r="AI159" i="3"/>
  <c r="AI158" i="3"/>
  <c r="AI157" i="3"/>
  <c r="AI156" i="3"/>
  <c r="AI155" i="3"/>
  <c r="AI154" i="3"/>
  <c r="AI153" i="3"/>
  <c r="AI152" i="3"/>
  <c r="AI151" i="3"/>
  <c r="AI150" i="3"/>
  <c r="AI149" i="3"/>
  <c r="AI148" i="3"/>
  <c r="AI147" i="3"/>
  <c r="AI146" i="3"/>
  <c r="AI145" i="3"/>
  <c r="AI144" i="3"/>
  <c r="AI143" i="3"/>
  <c r="AI142" i="3"/>
  <c r="AI141" i="3"/>
  <c r="AI140" i="3"/>
  <c r="AI139" i="3"/>
  <c r="AI138" i="3"/>
  <c r="AI137" i="3"/>
  <c r="AI136" i="3"/>
  <c r="AI135" i="3"/>
  <c r="AI134" i="3"/>
  <c r="AI133" i="3"/>
  <c r="AI132" i="3"/>
  <c r="AI131" i="3"/>
  <c r="AI130" i="3"/>
  <c r="AI129" i="3"/>
  <c r="AI128" i="3"/>
  <c r="AI127" i="3"/>
  <c r="AI126" i="3"/>
  <c r="AI125" i="3"/>
  <c r="AI124" i="3"/>
  <c r="AI123" i="3"/>
  <c r="AI122" i="3"/>
  <c r="AI121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3" i="3"/>
  <c r="AI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7" i="3"/>
  <c r="AH1346" i="3"/>
  <c r="AH1345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AH1015" i="3"/>
  <c r="AH1014" i="3"/>
  <c r="AH1013" i="3"/>
  <c r="AH1012" i="3"/>
  <c r="AH1011" i="3"/>
  <c r="AH1010" i="3"/>
  <c r="AH1009" i="3"/>
  <c r="AH1008" i="3"/>
  <c r="AH1007" i="3"/>
  <c r="AH1006" i="3"/>
  <c r="AH1005" i="3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AH897" i="3"/>
  <c r="AH896" i="3"/>
  <c r="AH895" i="3"/>
  <c r="AH894" i="3"/>
  <c r="AH893" i="3"/>
  <c r="AH892" i="3"/>
  <c r="AH891" i="3"/>
  <c r="AH890" i="3"/>
  <c r="AH889" i="3"/>
  <c r="AH888" i="3"/>
  <c r="AH887" i="3"/>
  <c r="AH886" i="3"/>
  <c r="AH885" i="3"/>
  <c r="AH884" i="3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1471" i="3"/>
  <c r="AG1470" i="3"/>
  <c r="AG1469" i="3"/>
  <c r="AG1468" i="3"/>
  <c r="AG1467" i="3"/>
  <c r="AG1466" i="3"/>
  <c r="AG1465" i="3"/>
  <c r="AG1464" i="3"/>
  <c r="AG1463" i="3"/>
  <c r="AG1462" i="3"/>
  <c r="AG1461" i="3"/>
  <c r="AG1460" i="3"/>
  <c r="AG1459" i="3"/>
  <c r="AG1458" i="3"/>
  <c r="AG1457" i="3"/>
  <c r="AG1456" i="3"/>
  <c r="AG1455" i="3"/>
  <c r="AG1454" i="3"/>
  <c r="AG1453" i="3"/>
  <c r="AG1452" i="3"/>
  <c r="AG1451" i="3"/>
  <c r="AG1450" i="3"/>
  <c r="AG1449" i="3"/>
  <c r="AG1448" i="3"/>
  <c r="AG1447" i="3"/>
  <c r="AG1446" i="3"/>
  <c r="AG1445" i="3"/>
  <c r="AG1444" i="3"/>
  <c r="AG1443" i="3"/>
  <c r="AG1442" i="3"/>
  <c r="AG1441" i="3"/>
  <c r="AG1440" i="3"/>
  <c r="AG1439" i="3"/>
  <c r="AG1438" i="3"/>
  <c r="AG1437" i="3"/>
  <c r="AG1436" i="3"/>
  <c r="AG1435" i="3"/>
  <c r="AG1434" i="3"/>
  <c r="AG1433" i="3"/>
  <c r="AG1432" i="3"/>
  <c r="AG1431" i="3"/>
  <c r="AG1430" i="3"/>
  <c r="AG1429" i="3"/>
  <c r="AG1428" i="3"/>
  <c r="AG1427" i="3"/>
  <c r="AG1426" i="3"/>
  <c r="AG1425" i="3"/>
  <c r="AG1424" i="3"/>
  <c r="AG1423" i="3"/>
  <c r="AG1422" i="3"/>
  <c r="AG1421" i="3"/>
  <c r="AG1420" i="3"/>
  <c r="AG1419" i="3"/>
  <c r="AG1418" i="3"/>
  <c r="AG1417" i="3"/>
  <c r="AG1416" i="3"/>
  <c r="AG1415" i="3"/>
  <c r="AG1414" i="3"/>
  <c r="AG1413" i="3"/>
  <c r="AG1412" i="3"/>
  <c r="AG1411" i="3"/>
  <c r="AG1410" i="3"/>
  <c r="AG1409" i="3"/>
  <c r="AG1408" i="3"/>
  <c r="AG1407" i="3"/>
  <c r="AG1406" i="3"/>
  <c r="AG1405" i="3"/>
  <c r="AG1404" i="3"/>
  <c r="AG1403" i="3"/>
  <c r="AG1402" i="3"/>
  <c r="AG1401" i="3"/>
  <c r="AG1400" i="3"/>
  <c r="AG1399" i="3"/>
  <c r="AG1398" i="3"/>
  <c r="AG1397" i="3"/>
  <c r="AG1396" i="3"/>
  <c r="AG1395" i="3"/>
  <c r="AG1394" i="3"/>
  <c r="AG1393" i="3"/>
  <c r="AG1392" i="3"/>
  <c r="AG1391" i="3"/>
  <c r="AG1390" i="3"/>
  <c r="AG1389" i="3"/>
  <c r="AG1388" i="3"/>
  <c r="AG1387" i="3"/>
  <c r="AG1386" i="3"/>
  <c r="AG1385" i="3"/>
  <c r="AG1384" i="3"/>
  <c r="AG1383" i="3"/>
  <c r="AG1382" i="3"/>
  <c r="AG1381" i="3"/>
  <c r="AG1380" i="3"/>
  <c r="AG1379" i="3"/>
  <c r="AG1378" i="3"/>
  <c r="AG1377" i="3"/>
  <c r="AG1376" i="3"/>
  <c r="AG1375" i="3"/>
  <c r="AG1374" i="3"/>
  <c r="AG1373" i="3"/>
  <c r="AG1372" i="3"/>
  <c r="AG1371" i="3"/>
  <c r="AG1370" i="3"/>
  <c r="AG1369" i="3"/>
  <c r="AG1368" i="3"/>
  <c r="AG1367" i="3"/>
  <c r="AG1366" i="3"/>
  <c r="AG1365" i="3"/>
  <c r="AG1364" i="3"/>
  <c r="AG1363" i="3"/>
  <c r="AG1362" i="3"/>
  <c r="AG1361" i="3"/>
  <c r="AG1360" i="3"/>
  <c r="AG1359" i="3"/>
  <c r="AG1358" i="3"/>
  <c r="AG1357" i="3"/>
  <c r="AG1356" i="3"/>
  <c r="AG1355" i="3"/>
  <c r="AG1354" i="3"/>
  <c r="AG1353" i="3"/>
  <c r="AG1352" i="3"/>
  <c r="AG1351" i="3"/>
  <c r="AG1350" i="3"/>
  <c r="AG1349" i="3"/>
  <c r="AG1348" i="3"/>
  <c r="AG1347" i="3"/>
  <c r="AG1346" i="3"/>
  <c r="AG1345" i="3"/>
  <c r="AG1344" i="3"/>
  <c r="AG1343" i="3"/>
  <c r="AG1342" i="3"/>
  <c r="AG1341" i="3"/>
  <c r="AG1340" i="3"/>
  <c r="AG1339" i="3"/>
  <c r="AG1338" i="3"/>
  <c r="AG1337" i="3"/>
  <c r="AG1336" i="3"/>
  <c r="AG1335" i="3"/>
  <c r="AG1334" i="3"/>
  <c r="AG1333" i="3"/>
  <c r="AG1332" i="3"/>
  <c r="AG1331" i="3"/>
  <c r="AG1330" i="3"/>
  <c r="AG1329" i="3"/>
  <c r="AG1328" i="3"/>
  <c r="AG1327" i="3"/>
  <c r="AG1326" i="3"/>
  <c r="AG1325" i="3"/>
  <c r="AG1324" i="3"/>
  <c r="AG1323" i="3"/>
  <c r="AG1322" i="3"/>
  <c r="AG1321" i="3"/>
  <c r="AG1320" i="3"/>
  <c r="AG1319" i="3"/>
  <c r="AG1318" i="3"/>
  <c r="AG1317" i="3"/>
  <c r="AG1316" i="3"/>
  <c r="AG1315" i="3"/>
  <c r="AG1314" i="3"/>
  <c r="AG1313" i="3"/>
  <c r="AG1312" i="3"/>
  <c r="AG1311" i="3"/>
  <c r="AG1310" i="3"/>
  <c r="AG1309" i="3"/>
  <c r="AG1308" i="3"/>
  <c r="AG1307" i="3"/>
  <c r="AG1306" i="3"/>
  <c r="AG1305" i="3"/>
  <c r="AG1304" i="3"/>
  <c r="AG1303" i="3"/>
  <c r="AG1302" i="3"/>
  <c r="AG1301" i="3"/>
  <c r="AG1300" i="3"/>
  <c r="AG1299" i="3"/>
  <c r="AG1298" i="3"/>
  <c r="AG1297" i="3"/>
  <c r="AG1296" i="3"/>
  <c r="AG1295" i="3"/>
  <c r="AG1294" i="3"/>
  <c r="AG1293" i="3"/>
  <c r="AG1292" i="3"/>
  <c r="AG1291" i="3"/>
  <c r="AG1290" i="3"/>
  <c r="AG1289" i="3"/>
  <c r="AG1288" i="3"/>
  <c r="AG1287" i="3"/>
  <c r="AG1286" i="3"/>
  <c r="AG1285" i="3"/>
  <c r="AG1284" i="3"/>
  <c r="AG1283" i="3"/>
  <c r="AG1282" i="3"/>
  <c r="AG1281" i="3"/>
  <c r="AG1280" i="3"/>
  <c r="AG1279" i="3"/>
  <c r="AG1278" i="3"/>
  <c r="AG1277" i="3"/>
  <c r="AG1276" i="3"/>
  <c r="AG1275" i="3"/>
  <c r="AG1274" i="3"/>
  <c r="AG1273" i="3"/>
  <c r="AG1272" i="3"/>
  <c r="AG1271" i="3"/>
  <c r="AG1270" i="3"/>
  <c r="AG1269" i="3"/>
  <c r="AG1268" i="3"/>
  <c r="AG1267" i="3"/>
  <c r="AG1266" i="3"/>
  <c r="AG1265" i="3"/>
  <c r="AG1264" i="3"/>
  <c r="AG1263" i="3"/>
  <c r="AG1262" i="3"/>
  <c r="AG1261" i="3"/>
  <c r="AG1260" i="3"/>
  <c r="AG1259" i="3"/>
  <c r="AG1258" i="3"/>
  <c r="AG1257" i="3"/>
  <c r="AG1256" i="3"/>
  <c r="AG1255" i="3"/>
  <c r="AG1254" i="3"/>
  <c r="AG1253" i="3"/>
  <c r="AG1252" i="3"/>
  <c r="AG1251" i="3"/>
  <c r="AG1250" i="3"/>
  <c r="AG1249" i="3"/>
  <c r="AG1248" i="3"/>
  <c r="AG1247" i="3"/>
  <c r="AG1246" i="3"/>
  <c r="AG1245" i="3"/>
  <c r="AG1244" i="3"/>
  <c r="AG1243" i="3"/>
  <c r="AG1242" i="3"/>
  <c r="AG1241" i="3"/>
  <c r="AG1240" i="3"/>
  <c r="AG1239" i="3"/>
  <c r="AG1238" i="3"/>
  <c r="AG1237" i="3"/>
  <c r="AG1236" i="3"/>
  <c r="AG1235" i="3"/>
  <c r="AG1234" i="3"/>
  <c r="AG1233" i="3"/>
  <c r="AG1232" i="3"/>
  <c r="AG1231" i="3"/>
  <c r="AG1230" i="3"/>
  <c r="AG1229" i="3"/>
  <c r="AG1228" i="3"/>
  <c r="AG1227" i="3"/>
  <c r="AG1226" i="3"/>
  <c r="AG1225" i="3"/>
  <c r="AG1224" i="3"/>
  <c r="AG1223" i="3"/>
  <c r="AG1222" i="3"/>
  <c r="AG1221" i="3"/>
  <c r="AG1220" i="3"/>
  <c r="AG1219" i="3"/>
  <c r="AG1218" i="3"/>
  <c r="AG1217" i="3"/>
  <c r="AG1216" i="3"/>
  <c r="AG1215" i="3"/>
  <c r="AG1214" i="3"/>
  <c r="AG1213" i="3"/>
  <c r="AG1212" i="3"/>
  <c r="AG1211" i="3"/>
  <c r="AG1210" i="3"/>
  <c r="AG1209" i="3"/>
  <c r="AG1208" i="3"/>
  <c r="AG1207" i="3"/>
  <c r="AG1206" i="3"/>
  <c r="AG1205" i="3"/>
  <c r="AG1204" i="3"/>
  <c r="AG1203" i="3"/>
  <c r="AG1202" i="3"/>
  <c r="AG1201" i="3"/>
  <c r="AG1200" i="3"/>
  <c r="AG1199" i="3"/>
  <c r="AG1198" i="3"/>
  <c r="AG1197" i="3"/>
  <c r="AG1196" i="3"/>
  <c r="AG1195" i="3"/>
  <c r="AG1194" i="3"/>
  <c r="AG1193" i="3"/>
  <c r="AG1192" i="3"/>
  <c r="AG1191" i="3"/>
  <c r="AG1190" i="3"/>
  <c r="AG1189" i="3"/>
  <c r="AG1188" i="3"/>
  <c r="AG1187" i="3"/>
  <c r="AG1186" i="3"/>
  <c r="AG1185" i="3"/>
  <c r="AG1184" i="3"/>
  <c r="AG1183" i="3"/>
  <c r="AG1182" i="3"/>
  <c r="AG1181" i="3"/>
  <c r="AG1180" i="3"/>
  <c r="AG1179" i="3"/>
  <c r="AG1178" i="3"/>
  <c r="AG1177" i="3"/>
  <c r="AG1176" i="3"/>
  <c r="AG1175" i="3"/>
  <c r="AG1174" i="3"/>
  <c r="AG1173" i="3"/>
  <c r="AG1172" i="3"/>
  <c r="AG1171" i="3"/>
  <c r="AG1170" i="3"/>
  <c r="AG1169" i="3"/>
  <c r="AG1168" i="3"/>
  <c r="AG1167" i="3"/>
  <c r="AG1166" i="3"/>
  <c r="AG1165" i="3"/>
  <c r="AG1164" i="3"/>
  <c r="AG1163" i="3"/>
  <c r="AG1162" i="3"/>
  <c r="AG1161" i="3"/>
  <c r="AG1160" i="3"/>
  <c r="AG1159" i="3"/>
  <c r="AG1158" i="3"/>
  <c r="AG1157" i="3"/>
  <c r="AG1156" i="3"/>
  <c r="AG1155" i="3"/>
  <c r="AG1154" i="3"/>
  <c r="AG1153" i="3"/>
  <c r="AG1152" i="3"/>
  <c r="AG1151" i="3"/>
  <c r="AG1150" i="3"/>
  <c r="AG1149" i="3"/>
  <c r="AG1148" i="3"/>
  <c r="AG1147" i="3"/>
  <c r="AG1146" i="3"/>
  <c r="AG1145" i="3"/>
  <c r="AG1144" i="3"/>
  <c r="AG1143" i="3"/>
  <c r="AG1142" i="3"/>
  <c r="AG1141" i="3"/>
  <c r="AG1140" i="3"/>
  <c r="AG1139" i="3"/>
  <c r="AG1138" i="3"/>
  <c r="AG1137" i="3"/>
  <c r="AG1136" i="3"/>
  <c r="AG1135" i="3"/>
  <c r="AG1134" i="3"/>
  <c r="AG1133" i="3"/>
  <c r="AG1132" i="3"/>
  <c r="AG1131" i="3"/>
  <c r="AG1130" i="3"/>
  <c r="AG1129" i="3"/>
  <c r="AG1128" i="3"/>
  <c r="AG1127" i="3"/>
  <c r="AG1126" i="3"/>
  <c r="AG1125" i="3"/>
  <c r="AG1124" i="3"/>
  <c r="AG1123" i="3"/>
  <c r="AG1122" i="3"/>
  <c r="AG1121" i="3"/>
  <c r="AG1120" i="3"/>
  <c r="AG1119" i="3"/>
  <c r="AG1118" i="3"/>
  <c r="AG1117" i="3"/>
  <c r="AG1116" i="3"/>
  <c r="AG1115" i="3"/>
  <c r="AG1114" i="3"/>
  <c r="AG1113" i="3"/>
  <c r="AG1112" i="3"/>
  <c r="AG1111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4" i="3"/>
  <c r="AG1093" i="3"/>
  <c r="AG1092" i="3"/>
  <c r="AG1091" i="3"/>
  <c r="AG1090" i="3"/>
  <c r="AG1089" i="3"/>
  <c r="AG1088" i="3"/>
  <c r="AG1087" i="3"/>
  <c r="AG1086" i="3"/>
  <c r="AG1085" i="3"/>
  <c r="AG1084" i="3"/>
  <c r="AG1083" i="3"/>
  <c r="AG1082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60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8" i="3"/>
  <c r="AG1007" i="3"/>
  <c r="AG1006" i="3"/>
  <c r="AG1005" i="3"/>
  <c r="AG1004" i="3"/>
  <c r="AG1003" i="3"/>
  <c r="AG1002" i="3"/>
  <c r="AG1001" i="3"/>
  <c r="AG1000" i="3"/>
  <c r="AG999" i="3"/>
  <c r="AG998" i="3"/>
  <c r="AG997" i="3"/>
  <c r="AG996" i="3"/>
  <c r="AG995" i="3"/>
  <c r="AG994" i="3"/>
  <c r="AG993" i="3"/>
  <c r="AG992" i="3"/>
  <c r="AG991" i="3"/>
  <c r="AG990" i="3"/>
  <c r="AG989" i="3"/>
  <c r="AG988" i="3"/>
  <c r="AG987" i="3"/>
  <c r="AG986" i="3"/>
  <c r="AG985" i="3"/>
  <c r="AG984" i="3"/>
  <c r="AG983" i="3"/>
  <c r="AG982" i="3"/>
  <c r="AG981" i="3"/>
  <c r="AG980" i="3"/>
  <c r="AG979" i="3"/>
  <c r="AG978" i="3"/>
  <c r="AG977" i="3"/>
  <c r="AG976" i="3"/>
  <c r="AG975" i="3"/>
  <c r="AG974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1" i="3"/>
  <c r="AG930" i="3"/>
  <c r="AG929" i="3"/>
  <c r="AG928" i="3"/>
  <c r="AG927" i="3"/>
  <c r="AG926" i="3"/>
  <c r="AG925" i="3"/>
  <c r="AG924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909" i="3"/>
  <c r="AG908" i="3"/>
  <c r="AG907" i="3"/>
  <c r="AG906" i="3"/>
  <c r="AG905" i="3"/>
  <c r="AG904" i="3"/>
  <c r="AG903" i="3"/>
  <c r="AG902" i="3"/>
  <c r="AG901" i="3"/>
  <c r="AG900" i="3"/>
  <c r="AG899" i="3"/>
  <c r="AG898" i="3"/>
  <c r="AG897" i="3"/>
  <c r="AG896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53" i="3"/>
  <c r="AG852" i="3"/>
  <c r="AG851" i="3"/>
  <c r="AG850" i="3"/>
  <c r="AG849" i="3"/>
  <c r="AG848" i="3"/>
  <c r="AG847" i="3"/>
  <c r="AG846" i="3"/>
  <c r="AG845" i="3"/>
  <c r="AG844" i="3"/>
  <c r="AG843" i="3"/>
  <c r="AG842" i="3"/>
  <c r="AG841" i="3"/>
  <c r="AG840" i="3"/>
  <c r="AG839" i="3"/>
  <c r="AG838" i="3"/>
  <c r="AG837" i="3"/>
  <c r="AG836" i="3"/>
  <c r="AG835" i="3"/>
  <c r="AG834" i="3"/>
  <c r="AG833" i="3"/>
  <c r="AG832" i="3"/>
  <c r="AG831" i="3"/>
  <c r="AG830" i="3"/>
  <c r="AG829" i="3"/>
  <c r="AG828" i="3"/>
  <c r="AG827" i="3"/>
  <c r="AG826" i="3"/>
  <c r="AG825" i="3"/>
  <c r="AG824" i="3"/>
  <c r="AG823" i="3"/>
  <c r="AG822" i="3"/>
  <c r="AG821" i="3"/>
  <c r="AG820" i="3"/>
  <c r="AG819" i="3"/>
  <c r="AG818" i="3"/>
  <c r="AG817" i="3"/>
  <c r="AG816" i="3"/>
  <c r="AG815" i="3"/>
  <c r="AG814" i="3"/>
  <c r="AG813" i="3"/>
  <c r="AG812" i="3"/>
  <c r="AG811" i="3"/>
  <c r="AG810" i="3"/>
  <c r="AG809" i="3"/>
  <c r="AG808" i="3"/>
  <c r="AG807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3" i="3"/>
  <c r="AG782" i="3"/>
  <c r="AG781" i="3"/>
  <c r="AG780" i="3"/>
  <c r="AG779" i="3"/>
  <c r="AG778" i="3"/>
  <c r="AG777" i="3"/>
  <c r="AG776" i="3"/>
  <c r="AG775" i="3"/>
  <c r="AG774" i="3"/>
  <c r="AG773" i="3"/>
  <c r="AG772" i="3"/>
  <c r="AG771" i="3"/>
  <c r="AG770" i="3"/>
  <c r="AG769" i="3"/>
  <c r="AG768" i="3"/>
  <c r="AG767" i="3"/>
  <c r="AG766" i="3"/>
  <c r="AG765" i="3"/>
  <c r="AG764" i="3"/>
  <c r="AG763" i="3"/>
  <c r="AG762" i="3"/>
  <c r="AG761" i="3"/>
  <c r="AG760" i="3"/>
  <c r="AG759" i="3"/>
  <c r="AG758" i="3"/>
  <c r="AG757" i="3"/>
  <c r="AG756" i="3"/>
  <c r="AG755" i="3"/>
  <c r="AG754" i="3"/>
  <c r="AG753" i="3"/>
  <c r="AG752" i="3"/>
  <c r="AG751" i="3"/>
  <c r="AG750" i="3"/>
  <c r="AG749" i="3"/>
  <c r="AG748" i="3"/>
  <c r="AG747" i="3"/>
  <c r="AG746" i="3"/>
  <c r="AG745" i="3"/>
  <c r="AG744" i="3"/>
  <c r="AG743" i="3"/>
  <c r="AG742" i="3"/>
  <c r="AG741" i="3"/>
  <c r="AG740" i="3"/>
  <c r="AG739" i="3"/>
  <c r="AG738" i="3"/>
  <c r="AG737" i="3"/>
  <c r="AG736" i="3"/>
  <c r="AG735" i="3"/>
  <c r="AG734" i="3"/>
  <c r="AG733" i="3"/>
  <c r="AG732" i="3"/>
  <c r="AG731" i="3"/>
  <c r="AG730" i="3"/>
  <c r="AG729" i="3"/>
  <c r="AG728" i="3"/>
  <c r="AG727" i="3"/>
  <c r="AG726" i="3"/>
  <c r="AG725" i="3"/>
  <c r="AG724" i="3"/>
  <c r="AG723" i="3"/>
  <c r="AG722" i="3"/>
  <c r="AG721" i="3"/>
  <c r="AG720" i="3"/>
  <c r="AG719" i="3"/>
  <c r="AG718" i="3"/>
  <c r="AG717" i="3"/>
  <c r="AG716" i="3"/>
  <c r="AG715" i="3"/>
  <c r="AG714" i="3"/>
  <c r="AG713" i="3"/>
  <c r="AG712" i="3"/>
  <c r="AG711" i="3"/>
  <c r="AG710" i="3"/>
  <c r="AG709" i="3"/>
  <c r="AG708" i="3"/>
  <c r="AG707" i="3"/>
  <c r="AG706" i="3"/>
  <c r="AG705" i="3"/>
  <c r="AG704" i="3"/>
  <c r="AG703" i="3"/>
  <c r="AG702" i="3"/>
  <c r="AG701" i="3"/>
  <c r="AG700" i="3"/>
  <c r="AG699" i="3"/>
  <c r="AG698" i="3"/>
  <c r="AG697" i="3"/>
  <c r="AG696" i="3"/>
  <c r="AG695" i="3"/>
  <c r="AG694" i="3"/>
  <c r="AG693" i="3"/>
  <c r="AG692" i="3"/>
  <c r="AG691" i="3"/>
  <c r="AG690" i="3"/>
  <c r="AG689" i="3"/>
  <c r="AG688" i="3"/>
  <c r="AG687" i="3"/>
  <c r="AG686" i="3"/>
  <c r="AG685" i="3"/>
  <c r="AG684" i="3"/>
  <c r="AG683" i="3"/>
  <c r="AG682" i="3"/>
  <c r="AG681" i="3"/>
  <c r="AG680" i="3"/>
  <c r="AG679" i="3"/>
  <c r="AG678" i="3"/>
  <c r="AG677" i="3"/>
  <c r="AG676" i="3"/>
  <c r="AG675" i="3"/>
  <c r="AG674" i="3"/>
  <c r="AG673" i="3"/>
  <c r="AG672" i="3"/>
  <c r="AG671" i="3"/>
  <c r="AG670" i="3"/>
  <c r="AG669" i="3"/>
  <c r="AG668" i="3"/>
  <c r="AG667" i="3"/>
  <c r="AG666" i="3"/>
  <c r="AG665" i="3"/>
  <c r="AG664" i="3"/>
  <c r="AG663" i="3"/>
  <c r="AG662" i="3"/>
  <c r="AG661" i="3"/>
  <c r="AG660" i="3"/>
  <c r="AG659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8" i="3"/>
  <c r="AG637" i="3"/>
  <c r="AG636" i="3"/>
  <c r="AG635" i="3"/>
  <c r="AG634" i="3"/>
  <c r="AG633" i="3"/>
  <c r="AG632" i="3"/>
  <c r="AG631" i="3"/>
  <c r="AG630" i="3"/>
  <c r="AG629" i="3"/>
  <c r="AG628" i="3"/>
  <c r="AG627" i="3"/>
  <c r="AG626" i="3"/>
  <c r="AG625" i="3"/>
  <c r="AG624" i="3"/>
  <c r="AG623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96" i="3"/>
  <c r="AG595" i="3"/>
  <c r="AG594" i="3"/>
  <c r="AG593" i="3"/>
  <c r="AG592" i="3"/>
  <c r="AG591" i="3"/>
  <c r="AG590" i="3"/>
  <c r="AG589" i="3"/>
  <c r="AG588" i="3"/>
  <c r="AG587" i="3"/>
  <c r="AG586" i="3"/>
  <c r="AG585" i="3"/>
  <c r="AG584" i="3"/>
  <c r="AG583" i="3"/>
  <c r="AG582" i="3"/>
  <c r="AG581" i="3"/>
  <c r="AG580" i="3"/>
  <c r="AG579" i="3"/>
  <c r="AG578" i="3"/>
  <c r="AG577" i="3"/>
  <c r="AG576" i="3"/>
  <c r="AG575" i="3"/>
  <c r="AG574" i="3"/>
  <c r="AG573" i="3"/>
  <c r="AG572" i="3"/>
  <c r="AG571" i="3"/>
  <c r="AG570" i="3"/>
  <c r="AG569" i="3"/>
  <c r="AG568" i="3"/>
  <c r="AG567" i="3"/>
  <c r="AG566" i="3"/>
  <c r="AG565" i="3"/>
  <c r="AG564" i="3"/>
  <c r="AG563" i="3"/>
  <c r="AG562" i="3"/>
  <c r="AG561" i="3"/>
  <c r="AG560" i="3"/>
  <c r="AG559" i="3"/>
  <c r="AG558" i="3"/>
  <c r="AG557" i="3"/>
  <c r="AG556" i="3"/>
  <c r="AG555" i="3"/>
  <c r="AG554" i="3"/>
  <c r="AG553" i="3"/>
  <c r="AG552" i="3"/>
  <c r="AG551" i="3"/>
  <c r="AG550" i="3"/>
  <c r="AG549" i="3"/>
  <c r="AG548" i="3"/>
  <c r="AG547" i="3"/>
  <c r="AG546" i="3"/>
  <c r="AG545" i="3"/>
  <c r="AG544" i="3"/>
  <c r="AG543" i="3"/>
  <c r="AG542" i="3"/>
  <c r="AG541" i="3"/>
  <c r="AG540" i="3"/>
  <c r="AG539" i="3"/>
  <c r="AG538" i="3"/>
  <c r="AG537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5" i="3"/>
  <c r="AG504" i="3"/>
  <c r="AG503" i="3"/>
  <c r="AG502" i="3"/>
  <c r="AG501" i="3"/>
  <c r="AG500" i="3"/>
  <c r="AG499" i="3"/>
  <c r="AG498" i="3"/>
  <c r="AG497" i="3"/>
  <c r="AG496" i="3"/>
  <c r="AG495" i="3"/>
  <c r="AG494" i="3"/>
  <c r="AG493" i="3"/>
  <c r="AG492" i="3"/>
  <c r="AG491" i="3"/>
  <c r="AG490" i="3"/>
  <c r="AG489" i="3"/>
  <c r="AG488" i="3"/>
  <c r="AG487" i="3"/>
  <c r="AG486" i="3"/>
  <c r="AG485" i="3"/>
  <c r="AG484" i="3"/>
  <c r="AG483" i="3"/>
  <c r="AG482" i="3"/>
  <c r="AG481" i="3"/>
  <c r="AG480" i="3"/>
  <c r="AG479" i="3"/>
  <c r="AG478" i="3"/>
  <c r="AG477" i="3"/>
  <c r="AG476" i="3"/>
  <c r="AG475" i="3"/>
  <c r="AG474" i="3"/>
  <c r="AG473" i="3"/>
  <c r="AG472" i="3"/>
  <c r="AG471" i="3"/>
  <c r="AG470" i="3"/>
  <c r="AG469" i="3"/>
  <c r="AG468" i="3"/>
  <c r="AG467" i="3"/>
  <c r="AG466" i="3"/>
  <c r="AG465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1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2" i="3"/>
  <c r="AG401" i="3"/>
  <c r="AG400" i="3"/>
  <c r="AG399" i="3"/>
  <c r="AG398" i="3"/>
  <c r="AG397" i="3"/>
  <c r="AG396" i="3"/>
  <c r="AG395" i="3"/>
  <c r="AG394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5" i="3"/>
  <c r="AG374" i="3"/>
  <c r="AG373" i="3"/>
  <c r="AG372" i="3"/>
  <c r="AG371" i="3"/>
  <c r="AG370" i="3"/>
  <c r="AG369" i="3"/>
  <c r="AG368" i="3"/>
  <c r="AG367" i="3"/>
  <c r="AG366" i="3"/>
  <c r="AG365" i="3"/>
  <c r="AG364" i="3"/>
  <c r="AG363" i="3"/>
  <c r="AG362" i="3"/>
  <c r="AG361" i="3"/>
  <c r="AG360" i="3"/>
  <c r="AG359" i="3"/>
  <c r="AG358" i="3"/>
  <c r="AG357" i="3"/>
  <c r="AG356" i="3"/>
  <c r="AG355" i="3"/>
  <c r="AG354" i="3"/>
  <c r="AG353" i="3"/>
  <c r="AG352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2" i="3"/>
  <c r="AG331" i="3"/>
  <c r="AG330" i="3"/>
  <c r="AG329" i="3"/>
  <c r="AG328" i="3"/>
  <c r="AG327" i="3"/>
  <c r="AG326" i="3"/>
  <c r="AG325" i="3"/>
  <c r="AG324" i="3"/>
  <c r="AG323" i="3"/>
  <c r="AG322" i="3"/>
  <c r="AG321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4" i="3"/>
  <c r="AG303" i="3"/>
  <c r="AG302" i="3"/>
  <c r="AG301" i="3"/>
  <c r="AG300" i="3"/>
  <c r="AG299" i="3"/>
  <c r="AG298" i="3"/>
  <c r="AG297" i="3"/>
  <c r="AG296" i="3"/>
  <c r="AG295" i="3"/>
  <c r="AG294" i="3"/>
  <c r="AG293" i="3"/>
  <c r="AG292" i="3"/>
  <c r="AG291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3" i="3"/>
  <c r="AG272" i="3"/>
  <c r="AG271" i="3"/>
  <c r="AG270" i="3"/>
  <c r="AG269" i="3"/>
  <c r="AG268" i="3"/>
  <c r="AG267" i="3"/>
  <c r="AG266" i="3"/>
  <c r="AG265" i="3"/>
  <c r="AG264" i="3"/>
  <c r="AG263" i="3"/>
  <c r="AG262" i="3"/>
  <c r="AG261" i="3"/>
  <c r="AG260" i="3"/>
  <c r="AG259" i="3"/>
  <c r="AG258" i="3"/>
  <c r="AG257" i="3"/>
  <c r="AG256" i="3"/>
  <c r="AG255" i="3"/>
  <c r="AG254" i="3"/>
  <c r="AG253" i="3"/>
  <c r="AG252" i="3"/>
  <c r="AG251" i="3"/>
  <c r="AG250" i="3"/>
  <c r="AG249" i="3"/>
  <c r="AG248" i="3"/>
  <c r="AG247" i="3"/>
  <c r="AG246" i="3"/>
  <c r="AG245" i="3"/>
  <c r="AG244" i="3"/>
  <c r="AG243" i="3"/>
  <c r="AG242" i="3"/>
  <c r="AG241" i="3"/>
  <c r="AG240" i="3"/>
  <c r="AG239" i="3"/>
  <c r="AG238" i="3"/>
  <c r="AG237" i="3"/>
  <c r="AG236" i="3"/>
  <c r="AG235" i="3"/>
  <c r="AG234" i="3"/>
  <c r="AG233" i="3"/>
  <c r="AG232" i="3"/>
  <c r="AG231" i="3"/>
  <c r="AG230" i="3"/>
  <c r="AG229" i="3"/>
  <c r="AG228" i="3"/>
  <c r="AG227" i="3"/>
  <c r="AG226" i="3"/>
  <c r="AG225" i="3"/>
  <c r="AG224" i="3"/>
  <c r="AG223" i="3"/>
  <c r="AG222" i="3"/>
  <c r="AG221" i="3"/>
  <c r="AG220" i="3"/>
  <c r="AG219" i="3"/>
  <c r="AG218" i="3"/>
  <c r="AG217" i="3"/>
  <c r="AG216" i="3"/>
  <c r="AG215" i="3"/>
  <c r="AG214" i="3"/>
  <c r="AG213" i="3"/>
  <c r="AG212" i="3"/>
  <c r="AG211" i="3"/>
  <c r="AG210" i="3"/>
  <c r="AG209" i="3"/>
  <c r="AG208" i="3"/>
  <c r="AG207" i="3"/>
  <c r="AG206" i="3"/>
  <c r="AG205" i="3"/>
  <c r="AG204" i="3"/>
  <c r="AG203" i="3"/>
  <c r="AG202" i="3"/>
  <c r="AG201" i="3"/>
  <c r="AG200" i="3"/>
  <c r="AG2" i="3"/>
</calcChain>
</file>

<file path=xl/sharedStrings.xml><?xml version="1.0" encoding="utf-8"?>
<sst xmlns="http://schemas.openxmlformats.org/spreadsheetml/2006/main" count="38412" uniqueCount="106">
  <si>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</si>
  <si>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</si>
  <si>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</si>
  <si>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</si>
  <si>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</si>
  <si>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</si>
  <si>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</si>
  <si>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</si>
  <si>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</si>
  <si>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</si>
  <si>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</si>
  <si>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</si>
  <si>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</si>
  <si>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</si>
  <si>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</si>
  <si>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</si>
  <si>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</si>
  <si>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</si>
  <si>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</si>
  <si>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</si>
  <si>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</si>
  <si>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</si>
  <si>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</si>
  <si>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</si>
  <si>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</si>
  <si>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</si>
  <si>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</si>
  <si>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</si>
  <si>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</si>
  <si>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</si>
  <si>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</si>
  <si>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</si>
  <si>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</si>
  <si>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</si>
  <si>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</si>
  <si>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</si>
  <si>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</si>
  <si>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</si>
  <si>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</si>
  <si>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</si>
  <si>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</si>
  <si>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</si>
  <si>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</si>
  <si>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</si>
  <si>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</si>
  <si>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</si>
  <si>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</si>
  <si>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</si>
  <si>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</si>
  <si>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</si>
  <si>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</si>
  <si>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</si>
  <si>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</si>
  <si>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</si>
  <si>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</si>
  <si>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</si>
  <si>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</si>
  <si>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</si>
  <si>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</si>
  <si>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</si>
  <si>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</si>
  <si>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</si>
  <si>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Attrition Rate </t>
  </si>
  <si>
    <t>Attrition Rate</t>
  </si>
  <si>
    <t>Count of EmployeeNumber</t>
  </si>
  <si>
    <t>Grand Total</t>
  </si>
  <si>
    <t>Age Group</t>
  </si>
  <si>
    <t>Job Satisfaction Level</t>
  </si>
  <si>
    <t>Employees</t>
  </si>
  <si>
    <t>18-25</t>
  </si>
  <si>
    <t>1. Low</t>
  </si>
  <si>
    <t>26-35</t>
  </si>
  <si>
    <t>2. Medium</t>
  </si>
  <si>
    <t>36-45</t>
  </si>
  <si>
    <t>3. High</t>
  </si>
  <si>
    <t>46-55</t>
  </si>
  <si>
    <t>4. Very High</t>
  </si>
  <si>
    <t>56+</t>
  </si>
  <si>
    <t>Tenure Band</t>
  </si>
  <si>
    <t>Attrition  Rate</t>
  </si>
  <si>
    <t>1. 0-1 yrs</t>
  </si>
  <si>
    <t>2. 2-5 yrs</t>
  </si>
  <si>
    <t>Work Life Balance Level</t>
  </si>
  <si>
    <t>Income Band</t>
  </si>
  <si>
    <t>3. 6-10 yrs</t>
  </si>
  <si>
    <t>1. Bad</t>
  </si>
  <si>
    <t>1. Under 3K</t>
  </si>
  <si>
    <t>4. 10+ yrs</t>
  </si>
  <si>
    <t>2. Good</t>
  </si>
  <si>
    <t>2. 3K-6K</t>
  </si>
  <si>
    <t>3. Better</t>
  </si>
  <si>
    <t>3. 6K-10K</t>
  </si>
  <si>
    <t>4. Best</t>
  </si>
  <si>
    <t>4. 10K+</t>
  </si>
  <si>
    <t>Attrition Flag</t>
  </si>
  <si>
    <r>
      <rPr>
        <sz val="20"/>
        <color rgb="FF000000"/>
        <rFont val="Calibri"/>
        <scheme val="minor"/>
      </rPr>
      <t xml:space="preserve">                                                                                           </t>
    </r>
    <r>
      <rPr>
        <sz val="24"/>
        <color rgb="FF000000"/>
        <rFont val="Calibri"/>
        <scheme val="minor"/>
      </rPr>
      <t xml:space="preserve">                       </t>
    </r>
    <r>
      <rPr>
        <b/>
        <sz val="24"/>
        <color rgb="FFFFFFFF"/>
        <rFont val="Calibri"/>
        <scheme val="minor"/>
      </rPr>
      <t>HR Attrition Dashboard</t>
    </r>
  </si>
  <si>
    <t>Total Employees</t>
  </si>
  <si>
    <t>Employees Left</t>
  </si>
  <si>
    <t>Avg Monthly Income</t>
  </si>
  <si>
    <t>Avg Years at Company</t>
  </si>
  <si>
    <t>Insights</t>
  </si>
  <si>
    <t xml:space="preserve">Overall attrition: 16.1% (237 of 1,470)
</t>
  </si>
  <si>
    <t>Overtime: 30.5% vs 10.4% without</t>
  </si>
  <si>
    <t>Highest risk role: Sales Representative (39.8%)</t>
  </si>
  <si>
    <t>Highest risk age group: 18-25 (35.8%)</t>
  </si>
  <si>
    <t>Highest risk tenure: first year (34.9%)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</si>
</sst>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$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scheme val="minor"/>
    </font>
    <font>
      <sz val="20"/>
      <color theme="1"/>
      <name val="Calibri"/>
      <scheme val="minor"/>
    </font>
    <font>
      <sz val="24"/>
      <color rgb="FF000000"/>
      <name val="Calibri"/>
      <scheme val="minor"/>
    </font>
    <font>
      <b/>
      <sz val="24"/>
      <color rgb="FFFFFFFF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A4E7A"/>
        <bgColor indexed="64"/>
      </patternFill>
    </fill>
    <fill>
      <patternFill patternType="solid">
        <fgColor rgb="FF869A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33" borderId="0" xfId="0" applyFill="1" applyAlignment="1"/>
    <xf numFmtId="0" fontId="0" fillId="33" borderId="0" xfId="0" applyFill="1" applyAlignment="1">
      <alignment horizontal="center"/>
    </xf>
    <xf numFmtId="1" fontId="17" fillId="34" borderId="0" xfId="0" applyNumberFormat="1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165" fontId="17" fillId="34" borderId="0" xfId="0" applyNumberFormat="1" applyFont="1" applyFill="1" applyAlignment="1">
      <alignment horizontal="center"/>
    </xf>
    <xf numFmtId="0" fontId="20" fillId="35" borderId="0" xfId="0" applyFont="1" applyFill="1" applyAlignment="1"/>
    <xf numFmtId="0" fontId="18" fillId="35" borderId="0" xfId="0" applyFont="1" applyFill="1" applyAlignment="1"/>
    <xf numFmtId="10" fontId="17" fillId="34" borderId="0" xfId="0" applyNumberFormat="1" applyFont="1" applyFill="1" applyAlignment="1">
      <alignment horizontal="center"/>
    </xf>
    <xf numFmtId="0" fontId="23" fillId="33" borderId="0" xfId="0" applyFont="1" applyFill="1"/>
    <xf numFmtId="0" fontId="24" fillId="33" borderId="0" xfId="0" applyFont="1" applyFill="1" applyAlignment="1"/>
    <xf numFmtId="0" fontId="24" fillId="33" borderId="0" xfId="0" applyFont="1" applyFill="1" applyAlignment="1"/>
    <xf numFmtId="16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869AC4"/>
      <color rgb="FF3A4E7A"/>
      <color rgb="FF2B41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3.6984197684717085E-2"/>
              <c:y val="-8.257208468153951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7.6748023672094934E-2"/>
              <c:y val="2.20182986465886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5.8462406943911437E-2"/>
              <c:y val="1.100868735572072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0.206633808144006"/>
              <c:y val="-3.8533639518051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0.19232260466547157"/>
              <c:y val="-1.10096112908719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7.1938623299357671E-2"/>
              <c:y val="-2.47707014693073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0.15641793993992942"/>
              <c:y val="-3.302972498260960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0.16393913946451319"/>
              <c:y val="-4.3074293401178689E-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0.28879795695853394"/>
              <c:y val="-4.95423268737711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62-4D53-AEB9-982D84E7725A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2-4D53-AEB9-982D84E7725A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62-4D53-AEB9-982D84E7725A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2-4D53-AEB9-982D84E7725A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62-4D53-AEB9-982D84E7725A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2-4D53-AEB9-982D84E7725A}"/>
              </c:ext>
            </c:extLst>
          </c:dPt>
          <c:dPt>
            <c:idx val="6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2-4D53-AEB9-982D84E7725A}"/>
              </c:ext>
            </c:extLst>
          </c:dPt>
          <c:dPt>
            <c:idx val="7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F62-4D53-AEB9-982D84E7725A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2-4D53-AEB9-982D84E7725A}"/>
              </c:ext>
            </c:extLst>
          </c:dPt>
          <c:dLbls>
            <c:dLbl>
              <c:idx val="0"/>
              <c:layout>
                <c:manualLayout>
                  <c:x val="7.1938623299357671E-2"/>
                  <c:y val="-2.477070146930731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62-4D53-AEB9-982D84E7725A}"/>
                </c:ext>
              </c:extLst>
            </c:dLbl>
            <c:dLbl>
              <c:idx val="1"/>
              <c:layout>
                <c:manualLayout>
                  <c:x val="0.19232260466547157"/>
                  <c:y val="-1.1009611290871935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62-4D53-AEB9-982D84E7725A}"/>
                </c:ext>
              </c:extLst>
            </c:dLbl>
            <c:dLbl>
              <c:idx val="2"/>
              <c:layout>
                <c:manualLayout>
                  <c:x val="0.206633808144006"/>
                  <c:y val="-3.85336395180517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62-4D53-AEB9-982D84E7725A}"/>
                </c:ext>
              </c:extLst>
            </c:dLbl>
            <c:dLbl>
              <c:idx val="3"/>
              <c:layout>
                <c:manualLayout>
                  <c:x val="5.8462406943911437E-2"/>
                  <c:y val="1.100868735572072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62-4D53-AEB9-982D84E7725A}"/>
                </c:ext>
              </c:extLst>
            </c:dLbl>
            <c:dLbl>
              <c:idx val="4"/>
              <c:layout>
                <c:manualLayout>
                  <c:x val="7.6748023672094934E-2"/>
                  <c:y val="2.2018298646588668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62-4D53-AEB9-982D84E7725A}"/>
                </c:ext>
              </c:extLst>
            </c:dLbl>
            <c:dLbl>
              <c:idx val="5"/>
              <c:layout>
                <c:manualLayout>
                  <c:x val="3.6984197684717085E-2"/>
                  <c:y val="-8.257208468153951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62-4D53-AEB9-982D84E7725A}"/>
                </c:ext>
              </c:extLst>
            </c:dLbl>
            <c:dLbl>
              <c:idx val="6"/>
              <c:layout>
                <c:manualLayout>
                  <c:x val="0.15641793993992942"/>
                  <c:y val="-3.302972498260960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62-4D53-AEB9-982D84E7725A}"/>
                </c:ext>
              </c:extLst>
            </c:dLbl>
            <c:dLbl>
              <c:idx val="7"/>
              <c:layout>
                <c:manualLayout>
                  <c:x val="0.16393913946451319"/>
                  <c:y val="-4.3074293401178689E-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62-4D53-AEB9-982D84E7725A}"/>
                </c:ext>
              </c:extLst>
            </c:dLbl>
            <c:dLbl>
              <c:idx val="8"/>
              <c:layout>
                <c:manualLayout>
                  <c:x val="0.28879795695853394"/>
                  <c:y val="-4.954232687377116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62-4D53-AEB9-982D84E772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pivot!$F$4:$F$13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pivot!$G$4:$G$13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3-403D-89B8-BB7EFAB3EA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6"/>
        <c:overlap val="100"/>
        <c:axId val="2023901191"/>
        <c:axId val="2026017287"/>
      </c:barChart>
      <c:catAx>
        <c:axId val="2023901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Roles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17287"/>
        <c:crosses val="autoZero"/>
        <c:auto val="1"/>
        <c:lblAlgn val="ctr"/>
        <c:lblOffset val="100"/>
        <c:noMultiLvlLbl val="0"/>
      </c:catAx>
      <c:valAx>
        <c:axId val="2026017287"/>
        <c:scaling>
          <c:orientation val="minMax"/>
          <c:max val="0.45"/>
          <c:min val="0"/>
        </c:scaling>
        <c:delete val="0"/>
        <c:axPos val="b"/>
        <c:minorGridlines>
          <c:spPr>
            <a:ln w="9525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 (%)</a:t>
                </a:r>
              </a:p>
            </c:rich>
          </c:tx>
          <c:layout>
            <c:manualLayout>
              <c:xMode val="edge"/>
              <c:yMode val="edge"/>
              <c:x val="0.40790877604581544"/>
              <c:y val="0.87590348306035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01191"/>
        <c:crosses val="autoZero"/>
        <c:crossBetween val="between"/>
        <c:minorUnit val="0.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Attrition: Overtime vs No Overtime</a:t>
            </a:r>
          </a:p>
        </c:rich>
      </c:tx>
      <c:layout>
        <c:manualLayout>
          <c:xMode val="edge"/>
          <c:yMode val="edge"/>
          <c:x val="0.15583470726897145"/>
          <c:y val="2.3555369512272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-7.8737993777075325E-4"/>
              <c:y val="-9.86612009447674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-7.083953373015788E-3"/>
              <c:y val="-0.213295948905845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60-4D6E-8BAE-2959552422DC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60-4D6E-8BAE-2959552422DC}"/>
              </c:ext>
            </c:extLst>
          </c:dPt>
          <c:dLbls>
            <c:dLbl>
              <c:idx val="0"/>
              <c:layout>
                <c:manualLayout>
                  <c:x val="-7.8737993777075325E-4"/>
                  <c:y val="-9.8661200944767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60-4D6E-8BAE-2959552422DC}"/>
                </c:ext>
              </c:extLst>
            </c:dLbl>
            <c:dLbl>
              <c:idx val="1"/>
              <c:layout>
                <c:manualLayout>
                  <c:x val="-7.083953373015788E-3"/>
                  <c:y val="-0.213295948905845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60-4D6E-8BAE-2959552422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pivot!$K$4:$K$6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pivot!$L$4:$L$6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1-49E6-A31B-325FBD890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558471"/>
        <c:axId val="2026561031"/>
      </c:barChart>
      <c:catAx>
        <c:axId val="2026558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Works Overtime</a:t>
                </a:r>
              </a:p>
            </c:rich>
          </c:tx>
          <c:layout>
            <c:manualLayout>
              <c:xMode val="edge"/>
              <c:yMode val="edge"/>
              <c:x val="0.38974592045449502"/>
              <c:y val="0.868704050607157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61031"/>
        <c:crosses val="autoZero"/>
        <c:auto val="1"/>
        <c:lblAlgn val="ctr"/>
        <c:lblOffset val="100"/>
        <c:noMultiLvlLbl val="0"/>
      </c:catAx>
      <c:valAx>
        <c:axId val="2026561031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58471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 cmpd="sng" algn="ctr">
            <a:solidFill>
              <a:srgbClr val="ED7D31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ED7D31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strRef>
              <c:f>pivot!$A$13:$A$18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pivot!$B$13:$B$18</c:f>
              <c:numCache>
                <c:formatCode>0.00%</c:formatCode>
                <c:ptCount val="5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0.11504424778761062</c:v>
                </c:pt>
                <c:pt idx="4">
                  <c:v>0.1702127659574468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6-4E07-BD34-08DA88A8A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116295"/>
        <c:axId val="2056822279"/>
      </c:lineChart>
      <c:catAx>
        <c:axId val="2055116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 (years)</a:t>
                </a:r>
              </a:p>
            </c:rich>
          </c:tx>
          <c:layout>
            <c:manualLayout>
              <c:xMode val="edge"/>
              <c:yMode val="edge"/>
              <c:x val="0.39908343841323296"/>
              <c:y val="0.87867454831085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22279"/>
        <c:crosses val="autoZero"/>
        <c:auto val="1"/>
        <c:lblAlgn val="ctr"/>
        <c:lblOffset val="100"/>
        <c:noMultiLvlLbl val="0"/>
      </c:catAx>
      <c:valAx>
        <c:axId val="2056822279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16295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Monthly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-1.7417964658524175E-3"/>
              <c:y val="-0.249750423105415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3.7006729710144159E-3"/>
              <c:y val="-0.120990571134287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1.9592343619042642E-3"/>
              <c:y val="-0.115440160606176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2.3944898583424185E-3"/>
              <c:y val="-9.21302953773655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12-4A03-866B-CF3E5FC787BF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12-4A03-866B-CF3E5FC787BF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12-4A03-866B-CF3E5FC787BF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12-4A03-866B-CF3E5FC787BF}"/>
              </c:ext>
            </c:extLst>
          </c:dPt>
          <c:dLbls>
            <c:dLbl>
              <c:idx val="0"/>
              <c:layout>
                <c:manualLayout>
                  <c:x val="-1.7417964658524175E-3"/>
                  <c:y val="-0.249750423105415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12-4A03-866B-CF3E5FC787BF}"/>
                </c:ext>
              </c:extLst>
            </c:dLbl>
            <c:dLbl>
              <c:idx val="1"/>
              <c:layout>
                <c:manualLayout>
                  <c:x val="3.7006729710144159E-3"/>
                  <c:y val="-0.120990571134287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12-4A03-866B-CF3E5FC787BF}"/>
                </c:ext>
              </c:extLst>
            </c:dLbl>
            <c:dLbl>
              <c:idx val="2"/>
              <c:layout>
                <c:manualLayout>
                  <c:x val="1.9592343619042642E-3"/>
                  <c:y val="-0.115440160606176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12-4A03-866B-CF3E5FC787BF}"/>
                </c:ext>
              </c:extLst>
            </c:dLbl>
            <c:dLbl>
              <c:idx val="3"/>
              <c:layout>
                <c:manualLayout>
                  <c:x val="2.3944898583424185E-3"/>
                  <c:y val="-9.2130295377365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12-4A03-866B-CF3E5FC787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pivot!$A$24:$A$28</c:f>
              <c:strCache>
                <c:ptCount val="4"/>
                <c:pt idx="0">
                  <c:v>1. Under 3K</c:v>
                </c:pt>
                <c:pt idx="1">
                  <c:v>2. 3K-6K</c:v>
                </c:pt>
                <c:pt idx="2">
                  <c:v>3. 6K-10K</c:v>
                </c:pt>
                <c:pt idx="3">
                  <c:v>4. 10K+</c:v>
                </c:pt>
              </c:strCache>
            </c:strRef>
          </c:cat>
          <c:val>
            <c:numRef>
              <c:f>pivot!$B$24:$B$28</c:f>
              <c:numCache>
                <c:formatCode>0.00%</c:formatCode>
                <c:ptCount val="4"/>
                <c:pt idx="0">
                  <c:v>0.28607594936708863</c:v>
                </c:pt>
                <c:pt idx="1">
                  <c:v>0.12716763005780346</c:v>
                </c:pt>
                <c:pt idx="2">
                  <c:v>0.12</c:v>
                </c:pt>
                <c:pt idx="3">
                  <c:v>8.8967971530249115E-2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CAC-9E75-7E5959B33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5167496"/>
        <c:axId val="95169544"/>
      </c:barChart>
      <c:catAx>
        <c:axId val="95167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Income 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9544"/>
        <c:crosses val="autoZero"/>
        <c:auto val="1"/>
        <c:lblAlgn val="ctr"/>
        <c:lblOffset val="100"/>
        <c:noMultiLvlLbl val="0"/>
      </c:catAx>
      <c:valAx>
        <c:axId val="95169544"/>
        <c:scaling>
          <c:orientation val="minMax"/>
          <c:max val="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7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1.7223478618421052E-3"/>
              <c:y val="-0.10949098998114273"/>
            </c:manualLayout>
          </c:layout>
          <c:dLblPos val="ctr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4.9760999177631583E-3"/>
              <c:y val="-0.27215305267075957"/>
            </c:manualLayout>
          </c:layout>
          <c:dLblPos val="ctr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0292278763536162E-16"/>
              <c:y val="-0.20031147398088159"/>
            </c:manualLayout>
          </c:layout>
          <c:dLblPos val="ctr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1.0143439854730998E-2"/>
              <c:y val="-0.10651601590969004"/>
            </c:manualLayout>
          </c:layout>
          <c:dLblPos val="ctr"/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7.2302410517973998E-3"/>
              <c:y val="-0.2872641647576357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5.4646028852683333E-3"/>
              <c:y val="-0.14529081090669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8.4371732290656649E-3"/>
              <c:y val="-0.125032900852276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D7D31"/>
          </a:solidFill>
          <a:ln>
            <a:noFill/>
          </a:ln>
          <a:effectLst/>
        </c:spPr>
        <c:dLbl>
          <c:idx val="0"/>
          <c:layout>
            <c:manualLayout>
              <c:x val="6.1641943451551829E-4"/>
              <c:y val="-8.68837949517687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69-44E5-B400-00BF5A18C597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69-44E5-B400-00BF5A18C597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69-44E5-B400-00BF5A18C597}"/>
              </c:ext>
            </c:extLst>
          </c:dPt>
          <c:dPt>
            <c:idx val="3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69-44E5-B400-00BF5A18C597}"/>
              </c:ext>
            </c:extLst>
          </c:dPt>
          <c:dLbls>
            <c:dLbl>
              <c:idx val="0"/>
              <c:layout>
                <c:manualLayout>
                  <c:x val="7.2302410517973998E-3"/>
                  <c:y val="-0.287264164757635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9-44E5-B400-00BF5A18C597}"/>
                </c:ext>
              </c:extLst>
            </c:dLbl>
            <c:dLbl>
              <c:idx val="1"/>
              <c:layout>
                <c:manualLayout>
                  <c:x val="5.4646028852683333E-3"/>
                  <c:y val="-0.145290810906694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69-44E5-B400-00BF5A18C597}"/>
                </c:ext>
              </c:extLst>
            </c:dLbl>
            <c:dLbl>
              <c:idx val="2"/>
              <c:layout>
                <c:manualLayout>
                  <c:x val="8.4371732290656649E-3"/>
                  <c:y val="-0.125032900852276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69-44E5-B400-00BF5A18C597}"/>
                </c:ext>
              </c:extLst>
            </c:dLbl>
            <c:dLbl>
              <c:idx val="3"/>
              <c:layout>
                <c:manualLayout>
                  <c:x val="6.1641943451551829E-4"/>
                  <c:y val="-8.6883794951768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69-44E5-B400-00BF5A18C5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pivot!$F$21:$F$25</c:f>
              <c:strCache>
                <c:ptCount val="4"/>
                <c:pt idx="0">
                  <c:v>1. 0-1 yrs</c:v>
                </c:pt>
                <c:pt idx="1">
                  <c:v>2. 2-5 yrs</c:v>
                </c:pt>
                <c:pt idx="2">
                  <c:v>3. 6-10 yrs</c:v>
                </c:pt>
                <c:pt idx="3">
                  <c:v>4. 10+ yrs</c:v>
                </c:pt>
              </c:strCache>
            </c:strRef>
          </c:cat>
          <c:val>
            <c:numRef>
              <c:f>pivot!$G$21:$G$25</c:f>
              <c:numCache>
                <c:formatCode>0.00%</c:formatCode>
                <c:ptCount val="4"/>
                <c:pt idx="0">
                  <c:v>0.34883720930232559</c:v>
                </c:pt>
                <c:pt idx="1">
                  <c:v>0.15508021390374332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1-4820-B470-2017694C4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56820231"/>
        <c:axId val="2056876039"/>
      </c:barChart>
      <c:catAx>
        <c:axId val="2056820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at 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76039"/>
        <c:crosses val="autoZero"/>
        <c:auto val="1"/>
        <c:lblAlgn val="ctr"/>
        <c:lblOffset val="100"/>
        <c:noMultiLvlLbl val="0"/>
      </c:catAx>
      <c:valAx>
        <c:axId val="2056876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20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 w="25400">
            <a:noFill/>
          </a:ln>
          <a:effectLst/>
        </c:spPr>
      </c:pivotFmt>
      <c:pivotFmt>
        <c:idx val="3"/>
        <c:spPr>
          <a:solidFill>
            <a:srgbClr val="4472C4"/>
          </a:solidFill>
          <a:ln w="25400">
            <a:noFill/>
          </a:ln>
          <a:effectLst/>
        </c:spPr>
      </c:pivotFmt>
      <c:pivotFmt>
        <c:idx val="4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472C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D7D3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D7D31"/>
          </a:solidFill>
          <a:ln w="25400">
            <a:noFill/>
          </a:ln>
          <a:effectLst/>
        </c:spPr>
        <c:dLbl>
          <c:idx val="0"/>
          <c:layout>
            <c:manualLayout>
              <c:x val="3.2582487474837802E-3"/>
              <c:y val="-0.141793683589787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D7D31"/>
          </a:solidFill>
          <a:ln w="25400">
            <a:noFill/>
          </a:ln>
          <a:effectLst/>
        </c:spPr>
        <c:dLbl>
          <c:idx val="0"/>
          <c:layout>
            <c:manualLayout>
              <c:x val="8.5218675149056101E-3"/>
              <c:y val="-0.107175123585843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D7D31"/>
          </a:solidFill>
          <a:ln w="25400">
            <a:noFill/>
          </a:ln>
          <a:effectLst/>
        </c:spPr>
        <c:dLbl>
          <c:idx val="0"/>
          <c:layout>
            <c:manualLayout>
              <c:x val="2.255793409239649E-3"/>
              <c:y val="-0.142267950512682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80-4838-AEF3-E42B21DAA7B2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80-4838-AEF3-E42B21DAA7B2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0-4838-AEF3-E42B21DAA7B2}"/>
              </c:ext>
            </c:extLst>
          </c:dPt>
          <c:dLbls>
            <c:dLbl>
              <c:idx val="0"/>
              <c:layout>
                <c:manualLayout>
                  <c:x val="2.255793409239649E-3"/>
                  <c:y val="-0.142267950512682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80-4838-AEF3-E42B21DAA7B2}"/>
                </c:ext>
              </c:extLst>
            </c:dLbl>
            <c:dLbl>
              <c:idx val="1"/>
              <c:layout>
                <c:manualLayout>
                  <c:x val="8.5218675149056101E-3"/>
                  <c:y val="-0.10717512358584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80-4838-AEF3-E42B21DAA7B2}"/>
                </c:ext>
              </c:extLst>
            </c:dLbl>
            <c:dLbl>
              <c:idx val="2"/>
              <c:layout>
                <c:manualLayout>
                  <c:x val="3.2582487474837802E-3"/>
                  <c:y val="-0.141793683589787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80-4838-AEF3-E42B21DAA7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pivot!$B$4:$B$7</c:f>
              <c:numCache>
                <c:formatCode>0.0%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8-4B11-B65B-919D3838F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3"/>
        <c:overlap val="100"/>
        <c:axId val="1550906375"/>
        <c:axId val="1589045767"/>
      </c:barChart>
      <c:catAx>
        <c:axId val="1550906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layout>
            <c:manualLayout>
              <c:xMode val="edge"/>
              <c:yMode val="edge"/>
              <c:x val="0.42543951123140833"/>
              <c:y val="0.85367037475265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045767"/>
        <c:crosses val="autoZero"/>
        <c:auto val="1"/>
        <c:lblAlgn val="ctr"/>
        <c:lblOffset val="100"/>
        <c:noMultiLvlLbl val="0"/>
      </c:catAx>
      <c:valAx>
        <c:axId val="1589045767"/>
        <c:scaling>
          <c:orientation val="minMax"/>
          <c:max val="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Attrition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0637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[WA_Fn-UseC_-HR-Employee-Attrition1.xlsx]pivot!PivotTable2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Who Left vs Stayed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1708866335311026E-2"/>
              <c:y val="-6.5656704372829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C6E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829808936928805E-2"/>
              <c:y val="-2.7272881401909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</c:spPr>
          <c:dPt>
            <c:idx val="0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C-425D-AE36-661B77EF48B7}"/>
              </c:ext>
            </c:extLst>
          </c:dPt>
          <c:dPt>
            <c:idx val="1"/>
            <c:bubble3D val="0"/>
            <c:spPr>
              <a:solidFill>
                <a:srgbClr val="B4C6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DC-425D-AE36-661B77EF48B7}"/>
              </c:ext>
            </c:extLst>
          </c:dPt>
          <c:dLbls>
            <c:dLbl>
              <c:idx val="0"/>
              <c:layout>
                <c:manualLayout>
                  <c:x val="-2.1708866335311026E-2"/>
                  <c:y val="-6.565670437282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DC-425D-AE36-661B77EF48B7}"/>
                </c:ext>
              </c:extLst>
            </c:dLbl>
            <c:dLbl>
              <c:idx val="1"/>
              <c:layout>
                <c:manualLayout>
                  <c:x val="-4.5829808936928805E-2"/>
                  <c:y val="-2.7272881401909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DC-425D-AE36-661B77EF4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pivot!$P$5:$P$7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pivot!$Q$5:$Q$7</c:f>
              <c:numCache>
                <c:formatCode>0.00%</c:formatCode>
                <c:ptCount val="2"/>
                <c:pt idx="0">
                  <c:v>0.83877551020408159</c:v>
                </c:pt>
                <c:pt idx="1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C-425D-AE36-661B77EF48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519387290066834"/>
          <c:y val="0.15482903178769319"/>
          <c:w val="0.14446019247594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6</xdr:row>
      <xdr:rowOff>0</xdr:rowOff>
    </xdr:from>
    <xdr:to>
      <xdr:col>9</xdr:col>
      <xdr:colOff>495300</xdr:colOff>
      <xdr:row>24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F60CB-306C-468E-9168-ADD82165DD89}"/>
            </a:ext>
            <a:ext uri="{147F2762-F138-4A5C-976F-8EAC2B608ADB}">
              <a16:predDERef xmlns:a16="http://schemas.microsoft.com/office/drawing/2014/main" pred="{8D01E479-8F87-4EBF-B1E9-0F90074AF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295275</xdr:colOff>
      <xdr:row>12</xdr:row>
      <xdr:rowOff>133350</xdr:rowOff>
    </xdr:from>
    <xdr:to>
      <xdr:col>23</xdr:col>
      <xdr:colOff>371475</xdr:colOff>
      <xdr:row>25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B558E8-6B2A-4176-B2BB-F8A2C68B0847}"/>
            </a:ext>
            <a:ext uri="{147F2762-F138-4A5C-976F-8EAC2B608ADB}">
              <a16:predDERef xmlns:a16="http://schemas.microsoft.com/office/drawing/2014/main" pred="{137F60CB-306C-468E-9168-ADD82165D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25</xdr:row>
      <xdr:rowOff>38100</xdr:rowOff>
    </xdr:from>
    <xdr:to>
      <xdr:col>8</xdr:col>
      <xdr:colOff>581025</xdr:colOff>
      <xdr:row>39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4AEAB7-95E5-4642-81A4-39969BA9505C}"/>
            </a:ext>
            <a:ext uri="{147F2762-F138-4A5C-976F-8EAC2B608ADB}">
              <a16:predDERef xmlns:a16="http://schemas.microsoft.com/office/drawing/2014/main" pred="{F3B558E8-6B2A-4176-B2BB-F8A2C68B0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26</xdr:row>
      <xdr:rowOff>9525</xdr:rowOff>
    </xdr:from>
    <xdr:to>
      <xdr:col>16</xdr:col>
      <xdr:colOff>190500</xdr:colOff>
      <xdr:row>39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D0E212-0CDB-4E9C-8D93-71E29465BF79}"/>
            </a:ext>
            <a:ext uri="{147F2762-F138-4A5C-976F-8EAC2B608ADB}">
              <a16:predDERef xmlns:a16="http://schemas.microsoft.com/office/drawing/2014/main" pred="{DD4AEAB7-95E5-4642-81A4-39969BA95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276225</xdr:colOff>
      <xdr:row>26</xdr:row>
      <xdr:rowOff>57150</xdr:rowOff>
    </xdr:from>
    <xdr:to>
      <xdr:col>23</xdr:col>
      <xdr:colOff>390525</xdr:colOff>
      <xdr:row>39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56C94F-742F-48AB-997E-A0A212D856FB}"/>
            </a:ext>
            <a:ext uri="{147F2762-F138-4A5C-976F-8EAC2B608ADB}">
              <a16:predDERef xmlns:a16="http://schemas.microsoft.com/office/drawing/2014/main" pred="{73D0E212-0CDB-4E9C-8D93-71E29465B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47625</xdr:colOff>
      <xdr:row>15</xdr:row>
      <xdr:rowOff>76200</xdr:rowOff>
    </xdr:from>
    <xdr:to>
      <xdr:col>16</xdr:col>
      <xdr:colOff>180975</xdr:colOff>
      <xdr:row>25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354A9A-5378-42D9-BD71-A06FEAD341D1}"/>
            </a:ext>
            <a:ext uri="{147F2762-F138-4A5C-976F-8EAC2B608ADB}">
              <a16:predDERef xmlns:a16="http://schemas.microsoft.com/office/drawing/2014/main" pred="{2B56C94F-742F-48AB-997E-A0A212D85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9525</xdr:colOff>
      <xdr:row>5</xdr:row>
      <xdr:rowOff>171450</xdr:rowOff>
    </xdr:from>
    <xdr:to>
      <xdr:col>16</xdr:col>
      <xdr:colOff>190500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3EA4D-5A80-47C3-9BDB-7387299B942C}"/>
            </a:ext>
            <a:ext uri="{147F2762-F138-4A5C-976F-8EAC2B608ADB}">
              <a16:predDERef xmlns:a16="http://schemas.microsoft.com/office/drawing/2014/main" pred="{AC354A9A-5378-42D9-BD71-A06FEAD34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068357638891" createdVersion="8" refreshedVersion="8" minRefreshableVersion="3" recordCount="1470" xr:uid="{0EF2CA51-F437-4E27-B150-C38CF16A683D}">
  <cacheSource type="worksheet">
    <worksheetSource name="HR"/>
  </cacheSource>
  <cacheFields count="38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 Flag" numFmtId="0">
      <sharedItems containsSemiMixedTypes="0" containsString="0" containsNumber="1" containsInteger="1" minValue="0" maxValue="1"/>
    </cacheField>
    <cacheField name="Age Group" numFmtId="0">
      <sharedItems count="5">
        <s v="36-45"/>
        <s v="46-55"/>
        <s v="26-35"/>
        <s v="56+"/>
        <s v="18-25"/>
      </sharedItems>
    </cacheField>
    <cacheField name="Income Band" numFmtId="0">
      <sharedItems count="4">
        <s v="2. 3K-6K"/>
        <s v="1. Under 3K"/>
        <s v="3. 6K-10K"/>
        <s v="4. 10K+"/>
      </sharedItems>
    </cacheField>
    <cacheField name="Tenure Band" numFmtId="0">
      <sharedItems count="4">
        <s v="3. 6-10 yrs"/>
        <s v="1. 0-1 yrs"/>
        <s v="2. 2-5 yrs"/>
        <s v="4. 10+ yrs"/>
      </sharedItems>
    </cacheField>
    <cacheField name="Job Satisfaction Level" numFmtId="0">
      <sharedItems count="4">
        <s v="4. Very High"/>
        <s v="2. Medium"/>
        <s v="3. High"/>
        <s v="1. Low"/>
      </sharedItems>
    </cacheField>
    <cacheField name="Work Life Balance Level" numFmtId="0">
      <sharedItems count="4">
        <s v="1. Bad"/>
        <s v="3. Better"/>
        <s v="2. Good"/>
        <s v="4. Best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x v="0"/>
    <n v="11"/>
    <n v="3"/>
    <n v="1"/>
    <n v="0"/>
    <n v="8"/>
    <n v="0"/>
    <n v="1"/>
    <n v="6"/>
    <n v="4"/>
    <n v="0"/>
    <n v="5"/>
    <n v="1"/>
    <x v="0"/>
    <x v="0"/>
    <x v="0"/>
    <x v="0"/>
    <x v="0"/>
  </r>
  <r>
    <x v="1"/>
    <x v="1"/>
    <x v="1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x v="1"/>
    <n v="23"/>
    <n v="4"/>
    <n v="4"/>
    <n v="1"/>
    <n v="10"/>
    <n v="3"/>
    <n v="3"/>
    <n v="10"/>
    <n v="7"/>
    <n v="1"/>
    <n v="7"/>
    <n v="0"/>
    <x v="1"/>
    <x v="0"/>
    <x v="0"/>
    <x v="1"/>
    <x v="1"/>
  </r>
  <r>
    <x v="2"/>
    <x v="0"/>
    <x v="0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x v="0"/>
    <n v="15"/>
    <n v="3"/>
    <n v="2"/>
    <n v="0"/>
    <n v="7"/>
    <n v="3"/>
    <n v="3"/>
    <n v="0"/>
    <n v="0"/>
    <n v="0"/>
    <n v="0"/>
    <n v="1"/>
    <x v="0"/>
    <x v="1"/>
    <x v="1"/>
    <x v="2"/>
    <x v="1"/>
  </r>
  <r>
    <x v="3"/>
    <x v="1"/>
    <x v="1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x v="0"/>
    <n v="11"/>
    <n v="3"/>
    <n v="3"/>
    <n v="0"/>
    <n v="8"/>
    <n v="3"/>
    <n v="3"/>
    <n v="8"/>
    <n v="7"/>
    <n v="3"/>
    <n v="0"/>
    <n v="0"/>
    <x v="2"/>
    <x v="1"/>
    <x v="0"/>
    <x v="2"/>
    <x v="1"/>
  </r>
  <r>
    <x v="4"/>
    <x v="1"/>
    <x v="0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x v="1"/>
    <n v="12"/>
    <n v="3"/>
    <n v="4"/>
    <n v="1"/>
    <n v="6"/>
    <n v="3"/>
    <n v="3"/>
    <n v="2"/>
    <n v="2"/>
    <n v="2"/>
    <n v="2"/>
    <n v="0"/>
    <x v="2"/>
    <x v="0"/>
    <x v="2"/>
    <x v="1"/>
    <x v="1"/>
  </r>
  <r>
    <x v="5"/>
    <x v="1"/>
    <x v="1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x v="1"/>
    <n v="13"/>
    <n v="3"/>
    <n v="3"/>
    <n v="0"/>
    <n v="8"/>
    <n v="2"/>
    <n v="2"/>
    <n v="7"/>
    <n v="7"/>
    <n v="3"/>
    <n v="6"/>
    <n v="0"/>
    <x v="2"/>
    <x v="0"/>
    <x v="0"/>
    <x v="0"/>
    <x v="2"/>
  </r>
  <r>
    <x v="6"/>
    <x v="1"/>
    <x v="0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x v="0"/>
    <n v="20"/>
    <n v="4"/>
    <n v="1"/>
    <n v="3"/>
    <n v="12"/>
    <n v="3"/>
    <n v="2"/>
    <n v="1"/>
    <n v="0"/>
    <n v="0"/>
    <n v="0"/>
    <n v="0"/>
    <x v="3"/>
    <x v="1"/>
    <x v="1"/>
    <x v="3"/>
    <x v="2"/>
  </r>
  <r>
    <x v="7"/>
    <x v="1"/>
    <x v="0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x v="1"/>
    <n v="22"/>
    <n v="4"/>
    <n v="2"/>
    <n v="1"/>
    <n v="1"/>
    <n v="2"/>
    <n v="3"/>
    <n v="1"/>
    <n v="0"/>
    <n v="0"/>
    <n v="0"/>
    <n v="0"/>
    <x v="2"/>
    <x v="1"/>
    <x v="1"/>
    <x v="2"/>
    <x v="1"/>
  </r>
  <r>
    <x v="8"/>
    <x v="1"/>
    <x v="1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x v="1"/>
    <n v="21"/>
    <n v="4"/>
    <n v="2"/>
    <n v="0"/>
    <n v="10"/>
    <n v="2"/>
    <n v="3"/>
    <n v="9"/>
    <n v="7"/>
    <n v="1"/>
    <n v="8"/>
    <n v="0"/>
    <x v="0"/>
    <x v="2"/>
    <x v="0"/>
    <x v="2"/>
    <x v="1"/>
  </r>
  <r>
    <x v="9"/>
    <x v="1"/>
    <x v="0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x v="1"/>
    <n v="13"/>
    <n v="3"/>
    <n v="2"/>
    <n v="2"/>
    <n v="17"/>
    <n v="3"/>
    <n v="2"/>
    <n v="7"/>
    <n v="7"/>
    <n v="7"/>
    <n v="7"/>
    <n v="0"/>
    <x v="0"/>
    <x v="0"/>
    <x v="0"/>
    <x v="2"/>
    <x v="2"/>
  </r>
  <r>
    <x v="10"/>
    <x v="1"/>
    <x v="0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x v="1"/>
    <n v="13"/>
    <n v="3"/>
    <n v="3"/>
    <n v="1"/>
    <n v="6"/>
    <n v="5"/>
    <n v="3"/>
    <n v="5"/>
    <n v="4"/>
    <n v="0"/>
    <n v="3"/>
    <n v="0"/>
    <x v="2"/>
    <x v="1"/>
    <x v="2"/>
    <x v="1"/>
    <x v="1"/>
  </r>
  <r>
    <x v="11"/>
    <x v="1"/>
    <x v="0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x v="0"/>
    <n v="12"/>
    <n v="3"/>
    <n v="4"/>
    <n v="0"/>
    <n v="10"/>
    <n v="3"/>
    <n v="3"/>
    <n v="9"/>
    <n v="5"/>
    <n v="0"/>
    <n v="8"/>
    <n v="0"/>
    <x v="2"/>
    <x v="0"/>
    <x v="0"/>
    <x v="2"/>
    <x v="1"/>
  </r>
  <r>
    <x v="12"/>
    <x v="1"/>
    <x v="0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x v="1"/>
    <n v="17"/>
    <n v="3"/>
    <n v="4"/>
    <n v="1"/>
    <n v="5"/>
    <n v="1"/>
    <n v="2"/>
    <n v="5"/>
    <n v="2"/>
    <n v="4"/>
    <n v="3"/>
    <n v="0"/>
    <x v="2"/>
    <x v="1"/>
    <x v="2"/>
    <x v="2"/>
    <x v="2"/>
  </r>
  <r>
    <x v="13"/>
    <x v="1"/>
    <x v="0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x v="1"/>
    <n v="11"/>
    <n v="3"/>
    <n v="3"/>
    <n v="1"/>
    <n v="3"/>
    <n v="2"/>
    <n v="3"/>
    <n v="2"/>
    <n v="2"/>
    <n v="1"/>
    <n v="2"/>
    <n v="0"/>
    <x v="2"/>
    <x v="1"/>
    <x v="2"/>
    <x v="0"/>
    <x v="1"/>
  </r>
  <r>
    <x v="14"/>
    <x v="0"/>
    <x v="0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x v="0"/>
    <n v="14"/>
    <n v="3"/>
    <n v="2"/>
    <n v="0"/>
    <n v="6"/>
    <n v="4"/>
    <n v="3"/>
    <n v="4"/>
    <n v="2"/>
    <n v="0"/>
    <n v="3"/>
    <n v="1"/>
    <x v="2"/>
    <x v="1"/>
    <x v="2"/>
    <x v="2"/>
    <x v="1"/>
  </r>
  <r>
    <x v="11"/>
    <x v="1"/>
    <x v="0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x v="1"/>
    <n v="11"/>
    <n v="3"/>
    <n v="3"/>
    <n v="1"/>
    <n v="10"/>
    <n v="1"/>
    <n v="3"/>
    <n v="10"/>
    <n v="9"/>
    <n v="8"/>
    <n v="8"/>
    <n v="0"/>
    <x v="2"/>
    <x v="2"/>
    <x v="0"/>
    <x v="3"/>
    <x v="1"/>
  </r>
  <r>
    <x v="5"/>
    <x v="1"/>
    <x v="0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x v="0"/>
    <n v="12"/>
    <n v="3"/>
    <n v="4"/>
    <n v="2"/>
    <n v="7"/>
    <n v="5"/>
    <n v="2"/>
    <n v="6"/>
    <n v="2"/>
    <n v="0"/>
    <n v="5"/>
    <n v="0"/>
    <x v="2"/>
    <x v="0"/>
    <x v="0"/>
    <x v="1"/>
    <x v="2"/>
  </r>
  <r>
    <x v="15"/>
    <x v="1"/>
    <x v="2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x v="0"/>
    <n v="13"/>
    <n v="3"/>
    <n v="2"/>
    <n v="2"/>
    <n v="1"/>
    <n v="2"/>
    <n v="2"/>
    <n v="1"/>
    <n v="0"/>
    <n v="0"/>
    <n v="0"/>
    <n v="0"/>
    <x v="4"/>
    <x v="1"/>
    <x v="1"/>
    <x v="0"/>
    <x v="2"/>
  </r>
  <r>
    <x v="16"/>
    <x v="1"/>
    <x v="0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x v="1"/>
    <n v="16"/>
    <n v="3"/>
    <n v="3"/>
    <n v="0"/>
    <n v="31"/>
    <n v="3"/>
    <n v="3"/>
    <n v="25"/>
    <n v="8"/>
    <n v="3"/>
    <n v="7"/>
    <n v="0"/>
    <x v="1"/>
    <x v="3"/>
    <x v="3"/>
    <x v="0"/>
    <x v="1"/>
  </r>
  <r>
    <x v="8"/>
    <x v="1"/>
    <x v="0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x v="0"/>
    <n v="11"/>
    <n v="3"/>
    <n v="3"/>
    <n v="0"/>
    <n v="6"/>
    <n v="3"/>
    <n v="3"/>
    <n v="3"/>
    <n v="2"/>
    <n v="1"/>
    <n v="2"/>
    <n v="0"/>
    <x v="0"/>
    <x v="0"/>
    <x v="2"/>
    <x v="0"/>
    <x v="1"/>
  </r>
  <r>
    <x v="17"/>
    <x v="1"/>
    <x v="2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x v="1"/>
    <n v="18"/>
    <n v="3"/>
    <n v="4"/>
    <n v="1"/>
    <n v="5"/>
    <n v="5"/>
    <n v="2"/>
    <n v="4"/>
    <n v="2"/>
    <n v="1"/>
    <n v="3"/>
    <n v="0"/>
    <x v="4"/>
    <x v="0"/>
    <x v="2"/>
    <x v="2"/>
    <x v="2"/>
  </r>
  <r>
    <x v="9"/>
    <x v="0"/>
    <x v="0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x v="1"/>
    <n v="23"/>
    <n v="4"/>
    <n v="2"/>
    <n v="0"/>
    <n v="10"/>
    <n v="4"/>
    <n v="3"/>
    <n v="5"/>
    <n v="3"/>
    <n v="0"/>
    <n v="3"/>
    <n v="1"/>
    <x v="0"/>
    <x v="0"/>
    <x v="2"/>
    <x v="3"/>
    <x v="1"/>
  </r>
  <r>
    <x v="13"/>
    <x v="1"/>
    <x v="0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x v="1"/>
    <n v="11"/>
    <n v="3"/>
    <n v="3"/>
    <n v="0"/>
    <n v="13"/>
    <n v="4"/>
    <n v="3"/>
    <n v="12"/>
    <n v="6"/>
    <n v="2"/>
    <n v="11"/>
    <n v="0"/>
    <x v="2"/>
    <x v="3"/>
    <x v="3"/>
    <x v="1"/>
    <x v="1"/>
  </r>
  <r>
    <x v="18"/>
    <x v="1"/>
    <x v="0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x v="1"/>
    <n v="14"/>
    <n v="3"/>
    <n v="4"/>
    <n v="0"/>
    <n v="0"/>
    <n v="6"/>
    <n v="3"/>
    <n v="0"/>
    <n v="0"/>
    <n v="0"/>
    <n v="0"/>
    <n v="0"/>
    <x v="4"/>
    <x v="1"/>
    <x v="1"/>
    <x v="0"/>
    <x v="1"/>
  </r>
  <r>
    <x v="13"/>
    <x v="0"/>
    <x v="0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x v="1"/>
    <n v="11"/>
    <n v="3"/>
    <n v="3"/>
    <n v="0"/>
    <n v="8"/>
    <n v="2"/>
    <n v="3"/>
    <n v="4"/>
    <n v="2"/>
    <n v="1"/>
    <n v="3"/>
    <n v="1"/>
    <x v="2"/>
    <x v="1"/>
    <x v="2"/>
    <x v="3"/>
    <x v="1"/>
  </r>
  <r>
    <x v="16"/>
    <x v="1"/>
    <x v="0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  <n v="0"/>
    <x v="1"/>
    <x v="3"/>
    <x v="3"/>
    <x v="2"/>
    <x v="2"/>
  </r>
  <r>
    <x v="5"/>
    <x v="0"/>
    <x v="1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x v="0"/>
    <n v="22"/>
    <n v="4"/>
    <n v="2"/>
    <n v="0"/>
    <n v="10"/>
    <n v="5"/>
    <n v="3"/>
    <n v="10"/>
    <n v="2"/>
    <n v="6"/>
    <n v="7"/>
    <n v="1"/>
    <x v="2"/>
    <x v="0"/>
    <x v="0"/>
    <x v="3"/>
    <x v="1"/>
  </r>
  <r>
    <x v="19"/>
    <x v="1"/>
    <x v="0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x v="1"/>
    <n v="11"/>
    <n v="3"/>
    <n v="4"/>
    <n v="1"/>
    <n v="10"/>
    <n v="2"/>
    <n v="3"/>
    <n v="9"/>
    <n v="7"/>
    <n v="4"/>
    <n v="2"/>
    <n v="0"/>
    <x v="0"/>
    <x v="2"/>
    <x v="0"/>
    <x v="1"/>
    <x v="1"/>
  </r>
  <r>
    <x v="20"/>
    <x v="1"/>
    <x v="0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x v="1"/>
    <n v="14"/>
    <n v="3"/>
    <n v="4"/>
    <n v="1"/>
    <n v="24"/>
    <n v="4"/>
    <n v="3"/>
    <n v="22"/>
    <n v="6"/>
    <n v="5"/>
    <n v="17"/>
    <n v="0"/>
    <x v="0"/>
    <x v="3"/>
    <x v="3"/>
    <x v="0"/>
    <x v="1"/>
  </r>
  <r>
    <x v="21"/>
    <x v="1"/>
    <x v="0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x v="1"/>
    <n v="12"/>
    <n v="3"/>
    <n v="4"/>
    <n v="0"/>
    <n v="22"/>
    <n v="2"/>
    <n v="2"/>
    <n v="2"/>
    <n v="2"/>
    <n v="2"/>
    <n v="1"/>
    <n v="0"/>
    <x v="1"/>
    <x v="3"/>
    <x v="2"/>
    <x v="3"/>
    <x v="2"/>
  </r>
  <r>
    <x v="3"/>
    <x v="1"/>
    <x v="0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x v="1"/>
    <n v="11"/>
    <n v="3"/>
    <n v="4"/>
    <n v="0"/>
    <n v="7"/>
    <n v="3"/>
    <n v="3"/>
    <n v="1"/>
    <n v="1"/>
    <n v="0"/>
    <n v="0"/>
    <n v="0"/>
    <x v="2"/>
    <x v="1"/>
    <x v="1"/>
    <x v="0"/>
    <x v="1"/>
  </r>
  <r>
    <x v="20"/>
    <x v="1"/>
    <x v="0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x v="0"/>
    <n v="13"/>
    <n v="3"/>
    <n v="4"/>
    <n v="0"/>
    <n v="9"/>
    <n v="5"/>
    <n v="4"/>
    <n v="4"/>
    <n v="2"/>
    <n v="1"/>
    <n v="3"/>
    <n v="0"/>
    <x v="0"/>
    <x v="2"/>
    <x v="2"/>
    <x v="0"/>
    <x v="3"/>
  </r>
  <r>
    <x v="7"/>
    <x v="1"/>
    <x v="0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x v="1"/>
    <n v="13"/>
    <n v="3"/>
    <n v="1"/>
    <n v="0"/>
    <n v="10"/>
    <n v="5"/>
    <n v="3"/>
    <n v="10"/>
    <n v="0"/>
    <n v="1"/>
    <n v="8"/>
    <n v="0"/>
    <x v="2"/>
    <x v="1"/>
    <x v="0"/>
    <x v="2"/>
    <x v="1"/>
  </r>
  <r>
    <x v="22"/>
    <x v="0"/>
    <x v="0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x v="1"/>
    <n v="14"/>
    <n v="3"/>
    <n v="3"/>
    <n v="1"/>
    <n v="19"/>
    <n v="6"/>
    <n v="4"/>
    <n v="1"/>
    <n v="0"/>
    <n v="0"/>
    <n v="0"/>
    <n v="1"/>
    <x v="0"/>
    <x v="1"/>
    <x v="1"/>
    <x v="0"/>
    <x v="3"/>
  </r>
  <r>
    <x v="17"/>
    <x v="0"/>
    <x v="0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x v="0"/>
    <n v="16"/>
    <n v="3"/>
    <n v="1"/>
    <n v="1"/>
    <n v="6"/>
    <n v="2"/>
    <n v="2"/>
    <n v="2"/>
    <n v="0"/>
    <n v="2"/>
    <n v="0"/>
    <n v="1"/>
    <x v="4"/>
    <x v="1"/>
    <x v="2"/>
    <x v="0"/>
    <x v="2"/>
  </r>
  <r>
    <x v="23"/>
    <x v="1"/>
    <x v="0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x v="1"/>
    <n v="12"/>
    <n v="3"/>
    <n v="4"/>
    <n v="2"/>
    <n v="6"/>
    <n v="3"/>
    <n v="2"/>
    <n v="5"/>
    <n v="3"/>
    <n v="1"/>
    <n v="4"/>
    <n v="0"/>
    <x v="0"/>
    <x v="1"/>
    <x v="2"/>
    <x v="2"/>
    <x v="2"/>
  </r>
  <r>
    <x v="24"/>
    <x v="0"/>
    <x v="0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x v="0"/>
    <n v="14"/>
    <n v="3"/>
    <n v="3"/>
    <n v="0"/>
    <n v="3"/>
    <n v="2"/>
    <n v="3"/>
    <n v="3"/>
    <n v="2"/>
    <n v="0"/>
    <n v="2"/>
    <n v="1"/>
    <x v="1"/>
    <x v="1"/>
    <x v="2"/>
    <x v="2"/>
    <x v="1"/>
  </r>
  <r>
    <x v="10"/>
    <x v="1"/>
    <x v="0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x v="1"/>
    <n v="13"/>
    <n v="3"/>
    <n v="1"/>
    <n v="0"/>
    <n v="2"/>
    <n v="3"/>
    <n v="3"/>
    <n v="2"/>
    <n v="2"/>
    <n v="2"/>
    <n v="2"/>
    <n v="0"/>
    <x v="2"/>
    <x v="1"/>
    <x v="2"/>
    <x v="0"/>
    <x v="1"/>
  </r>
  <r>
    <x v="9"/>
    <x v="1"/>
    <x v="0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x v="0"/>
    <n v="14"/>
    <n v="3"/>
    <n v="4"/>
    <n v="1"/>
    <n v="6"/>
    <n v="3"/>
    <n v="4"/>
    <n v="1"/>
    <n v="1"/>
    <n v="0"/>
    <n v="0"/>
    <n v="0"/>
    <x v="0"/>
    <x v="0"/>
    <x v="1"/>
    <x v="3"/>
    <x v="3"/>
  </r>
  <r>
    <x v="3"/>
    <x v="1"/>
    <x v="1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x v="1"/>
    <n v="19"/>
    <n v="3"/>
    <n v="1"/>
    <n v="2"/>
    <n v="10"/>
    <n v="3"/>
    <n v="3"/>
    <n v="5"/>
    <n v="3"/>
    <n v="1"/>
    <n v="3"/>
    <n v="0"/>
    <x v="2"/>
    <x v="0"/>
    <x v="2"/>
    <x v="3"/>
    <x v="1"/>
  </r>
  <r>
    <x v="10"/>
    <x v="1"/>
    <x v="0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x v="1"/>
    <n v="12"/>
    <n v="3"/>
    <n v="3"/>
    <n v="1"/>
    <n v="1"/>
    <n v="3"/>
    <n v="3"/>
    <n v="1"/>
    <n v="0"/>
    <n v="0"/>
    <n v="0"/>
    <n v="0"/>
    <x v="2"/>
    <x v="1"/>
    <x v="1"/>
    <x v="0"/>
    <x v="1"/>
  </r>
  <r>
    <x v="4"/>
    <x v="1"/>
    <x v="0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x v="1"/>
    <n v="13"/>
    <n v="3"/>
    <n v="4"/>
    <n v="1"/>
    <n v="1"/>
    <n v="6"/>
    <n v="3"/>
    <n v="1"/>
    <n v="0"/>
    <n v="0"/>
    <n v="0"/>
    <n v="0"/>
    <x v="2"/>
    <x v="1"/>
    <x v="1"/>
    <x v="3"/>
    <x v="1"/>
  </r>
  <r>
    <x v="25"/>
    <x v="0"/>
    <x v="0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x v="1"/>
    <n v="12"/>
    <n v="3"/>
    <n v="3"/>
    <n v="0"/>
    <n v="1"/>
    <n v="2"/>
    <n v="2"/>
    <n v="1"/>
    <n v="0"/>
    <n v="0"/>
    <n v="1"/>
    <n v="1"/>
    <x v="2"/>
    <x v="1"/>
    <x v="1"/>
    <x v="2"/>
    <x v="2"/>
  </r>
  <r>
    <x v="4"/>
    <x v="1"/>
    <x v="1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x v="1"/>
    <n v="15"/>
    <n v="3"/>
    <n v="4"/>
    <n v="0"/>
    <n v="9"/>
    <n v="0"/>
    <n v="3"/>
    <n v="9"/>
    <n v="8"/>
    <n v="1"/>
    <n v="7"/>
    <n v="0"/>
    <x v="2"/>
    <x v="2"/>
    <x v="0"/>
    <x v="2"/>
    <x v="1"/>
  </r>
  <r>
    <x v="7"/>
    <x v="1"/>
    <x v="1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x v="1"/>
    <n v="23"/>
    <n v="4"/>
    <n v="4"/>
    <n v="0"/>
    <n v="12"/>
    <n v="2"/>
    <n v="3"/>
    <n v="12"/>
    <n v="8"/>
    <n v="3"/>
    <n v="7"/>
    <n v="0"/>
    <x v="2"/>
    <x v="0"/>
    <x v="3"/>
    <x v="0"/>
    <x v="1"/>
  </r>
  <r>
    <x v="0"/>
    <x v="0"/>
    <x v="0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  <n v="1"/>
    <x v="0"/>
    <x v="3"/>
    <x v="3"/>
    <x v="2"/>
    <x v="1"/>
  </r>
  <r>
    <x v="13"/>
    <x v="1"/>
    <x v="2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x v="1"/>
    <n v="20"/>
    <n v="4"/>
    <n v="3"/>
    <n v="0"/>
    <n v="10"/>
    <n v="2"/>
    <n v="3"/>
    <n v="9"/>
    <n v="5"/>
    <n v="8"/>
    <n v="7"/>
    <n v="0"/>
    <x v="2"/>
    <x v="0"/>
    <x v="0"/>
    <x v="2"/>
    <x v="1"/>
  </r>
  <r>
    <x v="2"/>
    <x v="1"/>
    <x v="0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x v="1"/>
    <n v="21"/>
    <n v="4"/>
    <n v="1"/>
    <n v="0"/>
    <n v="8"/>
    <n v="1"/>
    <n v="3"/>
    <n v="1"/>
    <n v="0"/>
    <n v="0"/>
    <n v="0"/>
    <n v="0"/>
    <x v="0"/>
    <x v="0"/>
    <x v="1"/>
    <x v="1"/>
    <x v="1"/>
  </r>
  <r>
    <x v="21"/>
    <x v="1"/>
    <x v="1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x v="0"/>
    <n v="21"/>
    <n v="4"/>
    <n v="3"/>
    <n v="0"/>
    <n v="14"/>
    <n v="4"/>
    <n v="3"/>
    <n v="9"/>
    <n v="6"/>
    <n v="0"/>
    <n v="8"/>
    <n v="0"/>
    <x v="1"/>
    <x v="0"/>
    <x v="0"/>
    <x v="0"/>
    <x v="1"/>
  </r>
  <r>
    <x v="10"/>
    <x v="1"/>
    <x v="0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x v="1"/>
    <n v="19"/>
    <n v="3"/>
    <n v="4"/>
    <n v="0"/>
    <n v="1"/>
    <n v="2"/>
    <n v="3"/>
    <n v="1"/>
    <n v="0"/>
    <n v="0"/>
    <n v="1"/>
    <n v="0"/>
    <x v="2"/>
    <x v="1"/>
    <x v="1"/>
    <x v="0"/>
    <x v="1"/>
  </r>
  <r>
    <x v="26"/>
    <x v="0"/>
    <x v="0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x v="0"/>
    <n v="13"/>
    <n v="3"/>
    <n v="4"/>
    <n v="0"/>
    <n v="23"/>
    <n v="2"/>
    <n v="3"/>
    <n v="1"/>
    <n v="0"/>
    <n v="0"/>
    <n v="0"/>
    <n v="1"/>
    <x v="1"/>
    <x v="0"/>
    <x v="1"/>
    <x v="2"/>
    <x v="1"/>
  </r>
  <r>
    <x v="14"/>
    <x v="0"/>
    <x v="0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x v="0"/>
    <n v="13"/>
    <n v="3"/>
    <n v="3"/>
    <n v="0"/>
    <n v="2"/>
    <n v="3"/>
    <n v="2"/>
    <n v="2"/>
    <n v="2"/>
    <n v="2"/>
    <n v="2"/>
    <n v="1"/>
    <x v="2"/>
    <x v="0"/>
    <x v="2"/>
    <x v="2"/>
    <x v="2"/>
  </r>
  <r>
    <x v="20"/>
    <x v="1"/>
    <x v="0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x v="0"/>
    <n v="21"/>
    <n v="4"/>
    <n v="3"/>
    <n v="1"/>
    <n v="9"/>
    <n v="2"/>
    <n v="2"/>
    <n v="4"/>
    <n v="3"/>
    <n v="1"/>
    <n v="3"/>
    <n v="0"/>
    <x v="0"/>
    <x v="0"/>
    <x v="2"/>
    <x v="3"/>
    <x v="2"/>
  </r>
  <r>
    <x v="10"/>
    <x v="1"/>
    <x v="2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x v="0"/>
    <n v="13"/>
    <n v="3"/>
    <n v="3"/>
    <n v="1"/>
    <n v="10"/>
    <n v="3"/>
    <n v="3"/>
    <n v="4"/>
    <n v="0"/>
    <n v="2"/>
    <n v="3"/>
    <n v="0"/>
    <x v="2"/>
    <x v="2"/>
    <x v="2"/>
    <x v="3"/>
    <x v="1"/>
  </r>
  <r>
    <x v="25"/>
    <x v="1"/>
    <x v="0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x v="0"/>
    <n v="19"/>
    <n v="3"/>
    <n v="3"/>
    <n v="1"/>
    <n v="5"/>
    <n v="2"/>
    <n v="2"/>
    <n v="2"/>
    <n v="2"/>
    <n v="0"/>
    <n v="0"/>
    <n v="0"/>
    <x v="2"/>
    <x v="0"/>
    <x v="2"/>
    <x v="0"/>
    <x v="2"/>
  </r>
  <r>
    <x v="3"/>
    <x v="1"/>
    <x v="1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x v="0"/>
    <n v="12"/>
    <n v="3"/>
    <n v="3"/>
    <n v="0"/>
    <n v="15"/>
    <n v="1"/>
    <n v="3"/>
    <n v="15"/>
    <n v="14"/>
    <n v="8"/>
    <n v="12"/>
    <n v="0"/>
    <x v="2"/>
    <x v="3"/>
    <x v="3"/>
    <x v="0"/>
    <x v="1"/>
  </r>
  <r>
    <x v="10"/>
    <x v="1"/>
    <x v="1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x v="1"/>
    <n v="22"/>
    <n v="4"/>
    <n v="4"/>
    <n v="1"/>
    <n v="9"/>
    <n v="3"/>
    <n v="2"/>
    <n v="9"/>
    <n v="8"/>
    <n v="1"/>
    <n v="8"/>
    <n v="0"/>
    <x v="2"/>
    <x v="2"/>
    <x v="0"/>
    <x v="3"/>
    <x v="2"/>
  </r>
  <r>
    <x v="10"/>
    <x v="1"/>
    <x v="0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x v="0"/>
    <n v="15"/>
    <n v="3"/>
    <n v="3"/>
    <n v="1"/>
    <n v="4"/>
    <n v="3"/>
    <n v="3"/>
    <n v="2"/>
    <n v="2"/>
    <n v="2"/>
    <n v="2"/>
    <n v="0"/>
    <x v="2"/>
    <x v="0"/>
    <x v="2"/>
    <x v="3"/>
    <x v="1"/>
  </r>
  <r>
    <x v="12"/>
    <x v="1"/>
    <x v="0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x v="1"/>
    <n v="22"/>
    <n v="4"/>
    <n v="4"/>
    <n v="1"/>
    <n v="10"/>
    <n v="3"/>
    <n v="2"/>
    <n v="7"/>
    <n v="7"/>
    <n v="1"/>
    <n v="7"/>
    <n v="0"/>
    <x v="2"/>
    <x v="0"/>
    <x v="0"/>
    <x v="0"/>
    <x v="2"/>
  </r>
  <r>
    <x v="2"/>
    <x v="1"/>
    <x v="0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x v="1"/>
    <n v="18"/>
    <n v="3"/>
    <n v="3"/>
    <n v="1"/>
    <n v="7"/>
    <n v="2"/>
    <n v="4"/>
    <n v="7"/>
    <n v="5"/>
    <n v="0"/>
    <n v="7"/>
    <n v="0"/>
    <x v="0"/>
    <x v="0"/>
    <x v="0"/>
    <x v="2"/>
    <x v="3"/>
  </r>
  <r>
    <x v="5"/>
    <x v="1"/>
    <x v="0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x v="0"/>
    <n v="22"/>
    <n v="4"/>
    <n v="2"/>
    <n v="1"/>
    <n v="9"/>
    <n v="3"/>
    <n v="3"/>
    <n v="9"/>
    <n v="8"/>
    <n v="7"/>
    <n v="8"/>
    <n v="0"/>
    <x v="2"/>
    <x v="2"/>
    <x v="0"/>
    <x v="0"/>
    <x v="1"/>
  </r>
  <r>
    <x v="8"/>
    <x v="1"/>
    <x v="1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x v="1"/>
    <n v="11"/>
    <n v="3"/>
    <n v="4"/>
    <n v="0"/>
    <n v="10"/>
    <n v="2"/>
    <n v="3"/>
    <n v="10"/>
    <n v="3"/>
    <n v="9"/>
    <n v="9"/>
    <n v="0"/>
    <x v="0"/>
    <x v="1"/>
    <x v="0"/>
    <x v="0"/>
    <x v="1"/>
  </r>
  <r>
    <x v="24"/>
    <x v="1"/>
    <x v="0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  <n v="0"/>
    <x v="1"/>
    <x v="3"/>
    <x v="3"/>
    <x v="2"/>
    <x v="2"/>
  </r>
  <r>
    <x v="6"/>
    <x v="1"/>
    <x v="0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x v="1"/>
    <n v="11"/>
    <n v="3"/>
    <n v="4"/>
    <n v="0"/>
    <n v="28"/>
    <n v="3"/>
    <n v="2"/>
    <n v="21"/>
    <n v="16"/>
    <n v="7"/>
    <n v="9"/>
    <n v="0"/>
    <x v="3"/>
    <x v="2"/>
    <x v="3"/>
    <x v="3"/>
    <x v="2"/>
  </r>
  <r>
    <x v="9"/>
    <x v="1"/>
    <x v="0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  <n v="0"/>
    <x v="0"/>
    <x v="3"/>
    <x v="3"/>
    <x v="2"/>
    <x v="1"/>
  </r>
  <r>
    <x v="27"/>
    <x v="1"/>
    <x v="0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x v="0"/>
    <n v="14"/>
    <n v="3"/>
    <n v="3"/>
    <n v="3"/>
    <n v="21"/>
    <n v="2"/>
    <n v="3"/>
    <n v="5"/>
    <n v="0"/>
    <n v="0"/>
    <n v="2"/>
    <n v="0"/>
    <x v="1"/>
    <x v="3"/>
    <x v="2"/>
    <x v="2"/>
    <x v="1"/>
  </r>
  <r>
    <x v="9"/>
    <x v="1"/>
    <x v="1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x v="1"/>
    <n v="13"/>
    <n v="3"/>
    <n v="3"/>
    <n v="0"/>
    <n v="6"/>
    <n v="3"/>
    <n v="3"/>
    <n v="6"/>
    <n v="5"/>
    <n v="0"/>
    <n v="3"/>
    <n v="0"/>
    <x v="0"/>
    <x v="2"/>
    <x v="0"/>
    <x v="1"/>
    <x v="1"/>
  </r>
  <r>
    <x v="28"/>
    <x v="1"/>
    <x v="0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x v="1"/>
    <n v="17"/>
    <n v="3"/>
    <n v="3"/>
    <n v="1"/>
    <n v="25"/>
    <n v="2"/>
    <n v="3"/>
    <n v="1"/>
    <n v="0"/>
    <n v="0"/>
    <n v="0"/>
    <n v="0"/>
    <x v="0"/>
    <x v="2"/>
    <x v="1"/>
    <x v="3"/>
    <x v="1"/>
  </r>
  <r>
    <x v="10"/>
    <x v="1"/>
    <x v="1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x v="1"/>
    <n v="13"/>
    <n v="3"/>
    <n v="4"/>
    <n v="1"/>
    <n v="5"/>
    <n v="2"/>
    <n v="2"/>
    <n v="3"/>
    <n v="2"/>
    <n v="1"/>
    <n v="2"/>
    <n v="0"/>
    <x v="2"/>
    <x v="1"/>
    <x v="2"/>
    <x v="3"/>
    <x v="2"/>
  </r>
  <r>
    <x v="9"/>
    <x v="0"/>
    <x v="0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x v="0"/>
    <n v="17"/>
    <n v="3"/>
    <n v="1"/>
    <n v="1"/>
    <n v="2"/>
    <n v="0"/>
    <n v="2"/>
    <n v="1"/>
    <n v="0"/>
    <n v="0"/>
    <n v="0"/>
    <n v="1"/>
    <x v="0"/>
    <x v="0"/>
    <x v="1"/>
    <x v="2"/>
    <x v="2"/>
  </r>
  <r>
    <x v="6"/>
    <x v="1"/>
    <x v="1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x v="1"/>
    <n v="11"/>
    <n v="3"/>
    <n v="4"/>
    <n v="0"/>
    <n v="20"/>
    <n v="2"/>
    <n v="2"/>
    <n v="4"/>
    <n v="3"/>
    <n v="1"/>
    <n v="3"/>
    <n v="0"/>
    <x v="3"/>
    <x v="0"/>
    <x v="2"/>
    <x v="2"/>
    <x v="2"/>
  </r>
  <r>
    <x v="11"/>
    <x v="1"/>
    <x v="0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x v="1"/>
    <n v="23"/>
    <n v="4"/>
    <n v="4"/>
    <n v="1"/>
    <n v="6"/>
    <n v="3"/>
    <n v="3"/>
    <n v="5"/>
    <n v="4"/>
    <n v="0"/>
    <n v="4"/>
    <n v="0"/>
    <x v="2"/>
    <x v="1"/>
    <x v="2"/>
    <x v="1"/>
    <x v="1"/>
  </r>
  <r>
    <x v="12"/>
    <x v="1"/>
    <x v="0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x v="1"/>
    <n v="17"/>
    <n v="3"/>
    <n v="2"/>
    <n v="0"/>
    <n v="1"/>
    <n v="4"/>
    <n v="3"/>
    <n v="1"/>
    <n v="1"/>
    <n v="1"/>
    <n v="0"/>
    <n v="0"/>
    <x v="2"/>
    <x v="1"/>
    <x v="1"/>
    <x v="1"/>
    <x v="1"/>
  </r>
  <r>
    <x v="5"/>
    <x v="1"/>
    <x v="0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x v="1"/>
    <n v="17"/>
    <n v="3"/>
    <n v="2"/>
    <n v="2"/>
    <n v="10"/>
    <n v="3"/>
    <n v="3"/>
    <n v="10"/>
    <n v="4"/>
    <n v="0"/>
    <n v="9"/>
    <n v="0"/>
    <x v="2"/>
    <x v="2"/>
    <x v="0"/>
    <x v="1"/>
    <x v="1"/>
  </r>
  <r>
    <x v="9"/>
    <x v="1"/>
    <x v="0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x v="1"/>
    <n v="12"/>
    <n v="3"/>
    <n v="2"/>
    <n v="0"/>
    <n v="5"/>
    <n v="3"/>
    <n v="3"/>
    <n v="1"/>
    <n v="0"/>
    <n v="0"/>
    <n v="0"/>
    <n v="0"/>
    <x v="0"/>
    <x v="0"/>
    <x v="1"/>
    <x v="0"/>
    <x v="1"/>
  </r>
  <r>
    <x v="12"/>
    <x v="1"/>
    <x v="0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x v="1"/>
    <n v="23"/>
    <n v="4"/>
    <n v="4"/>
    <n v="0"/>
    <n v="11"/>
    <n v="2"/>
    <n v="3"/>
    <n v="11"/>
    <n v="7"/>
    <n v="1"/>
    <n v="8"/>
    <n v="0"/>
    <x v="2"/>
    <x v="0"/>
    <x v="3"/>
    <x v="0"/>
    <x v="1"/>
  </r>
  <r>
    <x v="10"/>
    <x v="1"/>
    <x v="0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x v="1"/>
    <n v="14"/>
    <n v="3"/>
    <n v="2"/>
    <n v="0"/>
    <n v="16"/>
    <n v="2"/>
    <n v="3"/>
    <n v="15"/>
    <n v="13"/>
    <n v="2"/>
    <n v="8"/>
    <n v="0"/>
    <x v="2"/>
    <x v="0"/>
    <x v="3"/>
    <x v="3"/>
    <x v="1"/>
  </r>
  <r>
    <x v="28"/>
    <x v="1"/>
    <x v="0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x v="0"/>
    <n v="14"/>
    <n v="3"/>
    <n v="2"/>
    <n v="0"/>
    <n v="17"/>
    <n v="3"/>
    <n v="4"/>
    <n v="0"/>
    <n v="0"/>
    <n v="0"/>
    <n v="0"/>
    <n v="0"/>
    <x v="0"/>
    <x v="3"/>
    <x v="1"/>
    <x v="3"/>
    <x v="3"/>
  </r>
  <r>
    <x v="2"/>
    <x v="1"/>
    <x v="0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x v="1"/>
    <n v="13"/>
    <n v="3"/>
    <n v="1"/>
    <n v="0"/>
    <n v="16"/>
    <n v="3"/>
    <n v="4"/>
    <n v="5"/>
    <n v="2"/>
    <n v="0"/>
    <n v="2"/>
    <n v="0"/>
    <x v="0"/>
    <x v="3"/>
    <x v="2"/>
    <x v="2"/>
    <x v="3"/>
  </r>
  <r>
    <x v="21"/>
    <x v="1"/>
    <x v="0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x v="0"/>
    <n v="22"/>
    <n v="4"/>
    <n v="4"/>
    <n v="1"/>
    <n v="16"/>
    <n v="2"/>
    <n v="3"/>
    <n v="4"/>
    <n v="2"/>
    <n v="0"/>
    <n v="2"/>
    <n v="0"/>
    <x v="1"/>
    <x v="0"/>
    <x v="2"/>
    <x v="1"/>
    <x v="1"/>
  </r>
  <r>
    <x v="7"/>
    <x v="1"/>
    <x v="0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x v="0"/>
    <n v="12"/>
    <n v="3"/>
    <n v="3"/>
    <n v="2"/>
    <n v="10"/>
    <n v="1"/>
    <n v="2"/>
    <n v="10"/>
    <n v="8"/>
    <n v="3"/>
    <n v="0"/>
    <n v="0"/>
    <x v="2"/>
    <x v="0"/>
    <x v="0"/>
    <x v="0"/>
    <x v="2"/>
  </r>
  <r>
    <x v="10"/>
    <x v="1"/>
    <x v="0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x v="1"/>
    <n v="18"/>
    <n v="3"/>
    <n v="1"/>
    <n v="0"/>
    <n v="6"/>
    <n v="3"/>
    <n v="3"/>
    <n v="6"/>
    <n v="4"/>
    <n v="0"/>
    <n v="4"/>
    <n v="0"/>
    <x v="2"/>
    <x v="1"/>
    <x v="0"/>
    <x v="2"/>
    <x v="1"/>
  </r>
  <r>
    <x v="27"/>
    <x v="1"/>
    <x v="0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x v="1"/>
    <n v="14"/>
    <n v="3"/>
    <n v="4"/>
    <n v="1"/>
    <n v="24"/>
    <n v="4"/>
    <n v="3"/>
    <n v="1"/>
    <n v="0"/>
    <n v="1"/>
    <n v="0"/>
    <n v="0"/>
    <x v="1"/>
    <x v="3"/>
    <x v="1"/>
    <x v="0"/>
    <x v="1"/>
  </r>
  <r>
    <x v="8"/>
    <x v="1"/>
    <x v="2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x v="0"/>
    <n v="12"/>
    <n v="3"/>
    <n v="4"/>
    <n v="3"/>
    <n v="17"/>
    <n v="3"/>
    <n v="3"/>
    <n v="13"/>
    <n v="11"/>
    <n v="1"/>
    <n v="9"/>
    <n v="0"/>
    <x v="0"/>
    <x v="0"/>
    <x v="3"/>
    <x v="0"/>
    <x v="1"/>
  </r>
  <r>
    <x v="13"/>
    <x v="1"/>
    <x v="0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x v="1"/>
    <n v="15"/>
    <n v="3"/>
    <n v="3"/>
    <n v="0"/>
    <n v="5"/>
    <n v="2"/>
    <n v="3"/>
    <n v="5"/>
    <n v="2"/>
    <n v="1"/>
    <n v="3"/>
    <n v="0"/>
    <x v="2"/>
    <x v="0"/>
    <x v="2"/>
    <x v="1"/>
    <x v="1"/>
  </r>
  <r>
    <x v="29"/>
    <x v="1"/>
    <x v="0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x v="1"/>
    <n v="11"/>
    <n v="3"/>
    <n v="1"/>
    <n v="0"/>
    <n v="37"/>
    <n v="3"/>
    <n v="2"/>
    <n v="6"/>
    <n v="4"/>
    <n v="0"/>
    <n v="2"/>
    <n v="0"/>
    <x v="3"/>
    <x v="2"/>
    <x v="0"/>
    <x v="0"/>
    <x v="2"/>
  </r>
  <r>
    <x v="30"/>
    <x v="1"/>
    <x v="0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x v="1"/>
    <n v="13"/>
    <n v="3"/>
    <n v="3"/>
    <n v="1"/>
    <n v="3"/>
    <n v="3"/>
    <n v="3"/>
    <n v="0"/>
    <n v="0"/>
    <n v="0"/>
    <n v="0"/>
    <n v="0"/>
    <x v="4"/>
    <x v="1"/>
    <x v="1"/>
    <x v="3"/>
    <x v="1"/>
  </r>
  <r>
    <x v="31"/>
    <x v="1"/>
    <x v="0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x v="1"/>
    <n v="23"/>
    <n v="4"/>
    <n v="2"/>
    <n v="2"/>
    <n v="10"/>
    <n v="4"/>
    <n v="3"/>
    <n v="4"/>
    <n v="2"/>
    <n v="0"/>
    <n v="3"/>
    <n v="0"/>
    <x v="1"/>
    <x v="1"/>
    <x v="2"/>
    <x v="0"/>
    <x v="1"/>
  </r>
  <r>
    <x v="7"/>
    <x v="1"/>
    <x v="0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x v="1"/>
    <n v="19"/>
    <n v="3"/>
    <n v="1"/>
    <n v="3"/>
    <n v="11"/>
    <n v="3"/>
    <n v="3"/>
    <n v="11"/>
    <n v="10"/>
    <n v="10"/>
    <n v="8"/>
    <n v="0"/>
    <x v="2"/>
    <x v="0"/>
    <x v="3"/>
    <x v="0"/>
    <x v="1"/>
  </r>
  <r>
    <x v="21"/>
    <x v="0"/>
    <x v="0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x v="1"/>
    <n v="16"/>
    <n v="3"/>
    <n v="4"/>
    <n v="0"/>
    <n v="9"/>
    <n v="3"/>
    <n v="3"/>
    <n v="9"/>
    <n v="8"/>
    <n v="4"/>
    <n v="7"/>
    <n v="1"/>
    <x v="1"/>
    <x v="2"/>
    <x v="0"/>
    <x v="0"/>
    <x v="1"/>
  </r>
  <r>
    <x v="32"/>
    <x v="1"/>
    <x v="1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  <n v="0"/>
    <x v="0"/>
    <x v="3"/>
    <x v="3"/>
    <x v="1"/>
    <x v="2"/>
  </r>
  <r>
    <x v="31"/>
    <x v="1"/>
    <x v="0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x v="0"/>
    <n v="22"/>
    <n v="4"/>
    <n v="4"/>
    <n v="0"/>
    <n v="11"/>
    <n v="2"/>
    <n v="1"/>
    <n v="10"/>
    <n v="7"/>
    <n v="1"/>
    <n v="0"/>
    <n v="0"/>
    <x v="1"/>
    <x v="0"/>
    <x v="0"/>
    <x v="0"/>
    <x v="0"/>
  </r>
  <r>
    <x v="7"/>
    <x v="1"/>
    <x v="0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x v="0"/>
    <n v="12"/>
    <n v="3"/>
    <n v="2"/>
    <n v="3"/>
    <n v="11"/>
    <n v="4"/>
    <n v="2"/>
    <n v="11"/>
    <n v="8"/>
    <n v="2"/>
    <n v="7"/>
    <n v="0"/>
    <x v="2"/>
    <x v="0"/>
    <x v="3"/>
    <x v="1"/>
    <x v="2"/>
  </r>
  <r>
    <x v="21"/>
    <x v="1"/>
    <x v="1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x v="0"/>
    <n v="13"/>
    <n v="3"/>
    <n v="3"/>
    <n v="1"/>
    <n v="21"/>
    <n v="5"/>
    <n v="2"/>
    <n v="10"/>
    <n v="9"/>
    <n v="9"/>
    <n v="5"/>
    <n v="0"/>
    <x v="1"/>
    <x v="3"/>
    <x v="0"/>
    <x v="3"/>
    <x v="2"/>
  </r>
  <r>
    <x v="5"/>
    <x v="1"/>
    <x v="0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x v="1"/>
    <n v="16"/>
    <n v="3"/>
    <n v="1"/>
    <n v="0"/>
    <n v="12"/>
    <n v="0"/>
    <n v="3"/>
    <n v="11"/>
    <n v="8"/>
    <n v="5"/>
    <n v="7"/>
    <n v="0"/>
    <x v="2"/>
    <x v="0"/>
    <x v="3"/>
    <x v="2"/>
    <x v="1"/>
  </r>
  <r>
    <x v="33"/>
    <x v="1"/>
    <x v="0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x v="1"/>
    <n v="12"/>
    <n v="3"/>
    <n v="1"/>
    <n v="1"/>
    <n v="16"/>
    <n v="5"/>
    <n v="1"/>
    <n v="4"/>
    <n v="3"/>
    <n v="0"/>
    <n v="3"/>
    <n v="0"/>
    <x v="1"/>
    <x v="3"/>
    <x v="2"/>
    <x v="2"/>
    <x v="0"/>
  </r>
  <r>
    <x v="17"/>
    <x v="1"/>
    <x v="0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x v="1"/>
    <n v="21"/>
    <n v="4"/>
    <n v="1"/>
    <n v="1"/>
    <n v="4"/>
    <n v="2"/>
    <n v="2"/>
    <n v="3"/>
    <n v="2"/>
    <n v="0"/>
    <n v="2"/>
    <n v="0"/>
    <x v="4"/>
    <x v="0"/>
    <x v="2"/>
    <x v="2"/>
    <x v="2"/>
  </r>
  <r>
    <x v="14"/>
    <x v="1"/>
    <x v="2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x v="1"/>
    <n v="15"/>
    <n v="3"/>
    <n v="2"/>
    <n v="0"/>
    <n v="5"/>
    <n v="3"/>
    <n v="4"/>
    <n v="5"/>
    <n v="4"/>
    <n v="0"/>
    <n v="4"/>
    <n v="0"/>
    <x v="2"/>
    <x v="0"/>
    <x v="2"/>
    <x v="2"/>
    <x v="3"/>
  </r>
  <r>
    <x v="34"/>
    <x v="1"/>
    <x v="0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x v="1"/>
    <n v="13"/>
    <n v="3"/>
    <n v="3"/>
    <n v="0"/>
    <n v="38"/>
    <n v="1"/>
    <n v="2"/>
    <n v="37"/>
    <n v="10"/>
    <n v="1"/>
    <n v="8"/>
    <n v="0"/>
    <x v="3"/>
    <x v="3"/>
    <x v="3"/>
    <x v="2"/>
    <x v="2"/>
  </r>
  <r>
    <x v="20"/>
    <x v="1"/>
    <x v="2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x v="1"/>
    <n v="12"/>
    <n v="3"/>
    <n v="3"/>
    <n v="1"/>
    <n v="17"/>
    <n v="3"/>
    <n v="4"/>
    <n v="3"/>
    <n v="2"/>
    <n v="1"/>
    <n v="2"/>
    <n v="0"/>
    <x v="0"/>
    <x v="1"/>
    <x v="2"/>
    <x v="1"/>
    <x v="3"/>
  </r>
  <r>
    <x v="2"/>
    <x v="0"/>
    <x v="0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x v="0"/>
    <n v="22"/>
    <n v="4"/>
    <n v="4"/>
    <n v="0"/>
    <n v="7"/>
    <n v="3"/>
    <n v="3"/>
    <n v="3"/>
    <n v="2"/>
    <n v="0"/>
    <n v="2"/>
    <n v="1"/>
    <x v="0"/>
    <x v="1"/>
    <x v="2"/>
    <x v="3"/>
    <x v="1"/>
  </r>
  <r>
    <x v="5"/>
    <x v="1"/>
    <x v="0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x v="1"/>
    <n v="13"/>
    <n v="3"/>
    <n v="4"/>
    <n v="0"/>
    <n v="1"/>
    <n v="2"/>
    <n v="3"/>
    <n v="1"/>
    <n v="0"/>
    <n v="0"/>
    <n v="0"/>
    <n v="0"/>
    <x v="2"/>
    <x v="1"/>
    <x v="1"/>
    <x v="3"/>
    <x v="1"/>
  </r>
  <r>
    <x v="35"/>
    <x v="0"/>
    <x v="1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x v="0"/>
    <n v="18"/>
    <n v="3"/>
    <n v="2"/>
    <n v="0"/>
    <n v="1"/>
    <n v="5"/>
    <n v="3"/>
    <n v="1"/>
    <n v="0"/>
    <n v="1"/>
    <n v="0"/>
    <n v="1"/>
    <x v="4"/>
    <x v="1"/>
    <x v="1"/>
    <x v="0"/>
    <x v="1"/>
  </r>
  <r>
    <x v="13"/>
    <x v="1"/>
    <x v="0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x v="1"/>
    <n v="14"/>
    <n v="3"/>
    <n v="3"/>
    <n v="0"/>
    <n v="16"/>
    <n v="3"/>
    <n v="3"/>
    <n v="16"/>
    <n v="13"/>
    <n v="2"/>
    <n v="10"/>
    <n v="0"/>
    <x v="2"/>
    <x v="0"/>
    <x v="3"/>
    <x v="2"/>
    <x v="1"/>
  </r>
  <r>
    <x v="2"/>
    <x v="1"/>
    <x v="2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x v="1"/>
    <n v="14"/>
    <n v="3"/>
    <n v="4"/>
    <n v="1"/>
    <n v="17"/>
    <n v="2"/>
    <n v="4"/>
    <n v="1"/>
    <n v="0"/>
    <n v="0"/>
    <n v="0"/>
    <n v="0"/>
    <x v="0"/>
    <x v="0"/>
    <x v="1"/>
    <x v="0"/>
    <x v="3"/>
  </r>
  <r>
    <x v="6"/>
    <x v="1"/>
    <x v="2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x v="1"/>
    <n v="21"/>
    <n v="4"/>
    <n v="4"/>
    <n v="1"/>
    <n v="30"/>
    <n v="3"/>
    <n v="3"/>
    <n v="3"/>
    <n v="2"/>
    <n v="2"/>
    <n v="2"/>
    <n v="0"/>
    <x v="3"/>
    <x v="3"/>
    <x v="2"/>
    <x v="0"/>
    <x v="1"/>
  </r>
  <r>
    <x v="24"/>
    <x v="1"/>
    <x v="1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x v="0"/>
    <n v="19"/>
    <n v="3"/>
    <n v="1"/>
    <n v="0"/>
    <n v="28"/>
    <n v="1"/>
    <n v="2"/>
    <n v="8"/>
    <n v="3"/>
    <n v="0"/>
    <n v="7"/>
    <n v="0"/>
    <x v="1"/>
    <x v="3"/>
    <x v="0"/>
    <x v="1"/>
    <x v="2"/>
  </r>
  <r>
    <x v="36"/>
    <x v="0"/>
    <x v="0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x v="0"/>
    <n v="11"/>
    <n v="3"/>
    <n v="4"/>
    <n v="0"/>
    <n v="6"/>
    <n v="1"/>
    <n v="3"/>
    <n v="6"/>
    <n v="4"/>
    <n v="0"/>
    <n v="3"/>
    <n v="1"/>
    <x v="4"/>
    <x v="0"/>
    <x v="0"/>
    <x v="2"/>
    <x v="1"/>
  </r>
  <r>
    <x v="36"/>
    <x v="1"/>
    <x v="0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x v="1"/>
    <n v="11"/>
    <n v="3"/>
    <n v="3"/>
    <n v="2"/>
    <n v="2"/>
    <n v="2"/>
    <n v="3"/>
    <n v="2"/>
    <n v="2"/>
    <n v="2"/>
    <n v="1"/>
    <n v="0"/>
    <x v="4"/>
    <x v="1"/>
    <x v="2"/>
    <x v="0"/>
    <x v="1"/>
  </r>
  <r>
    <x v="15"/>
    <x v="1"/>
    <x v="0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x v="1"/>
    <n v="15"/>
    <n v="3"/>
    <n v="3"/>
    <n v="0"/>
    <n v="1"/>
    <n v="5"/>
    <n v="3"/>
    <n v="0"/>
    <n v="0"/>
    <n v="0"/>
    <n v="0"/>
    <n v="0"/>
    <x v="4"/>
    <x v="1"/>
    <x v="1"/>
    <x v="0"/>
    <x v="1"/>
  </r>
  <r>
    <x v="31"/>
    <x v="1"/>
    <x v="1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x v="1"/>
    <n v="20"/>
    <n v="4"/>
    <n v="3"/>
    <n v="0"/>
    <n v="23"/>
    <n v="1"/>
    <n v="2"/>
    <n v="13"/>
    <n v="12"/>
    <n v="12"/>
    <n v="8"/>
    <n v="0"/>
    <x v="1"/>
    <x v="2"/>
    <x v="3"/>
    <x v="3"/>
    <x v="2"/>
  </r>
  <r>
    <x v="13"/>
    <x v="0"/>
    <x v="1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x v="0"/>
    <n v="24"/>
    <n v="4"/>
    <n v="4"/>
    <n v="0"/>
    <n v="9"/>
    <n v="3"/>
    <n v="3"/>
    <n v="9"/>
    <n v="7"/>
    <n v="0"/>
    <n v="6"/>
    <n v="1"/>
    <x v="2"/>
    <x v="2"/>
    <x v="0"/>
    <x v="2"/>
    <x v="1"/>
  </r>
  <r>
    <x v="33"/>
    <x v="1"/>
    <x v="2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x v="0"/>
    <n v="12"/>
    <n v="3"/>
    <n v="3"/>
    <n v="0"/>
    <n v="23"/>
    <n v="3"/>
    <n v="3"/>
    <n v="5"/>
    <n v="3"/>
    <n v="4"/>
    <n v="4"/>
    <n v="0"/>
    <x v="1"/>
    <x v="3"/>
    <x v="2"/>
    <x v="0"/>
    <x v="1"/>
  </r>
  <r>
    <x v="17"/>
    <x v="1"/>
    <x v="0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x v="1"/>
    <n v="12"/>
    <n v="3"/>
    <n v="3"/>
    <n v="1"/>
    <n v="6"/>
    <n v="2"/>
    <n v="3"/>
    <n v="5"/>
    <n v="3"/>
    <n v="1"/>
    <n v="2"/>
    <n v="0"/>
    <x v="4"/>
    <x v="1"/>
    <x v="2"/>
    <x v="2"/>
    <x v="1"/>
  </r>
  <r>
    <x v="13"/>
    <x v="1"/>
    <x v="0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x v="1"/>
    <n v="15"/>
    <n v="3"/>
    <n v="3"/>
    <n v="1"/>
    <n v="12"/>
    <n v="3"/>
    <n v="3"/>
    <n v="1"/>
    <n v="0"/>
    <n v="0"/>
    <n v="0"/>
    <n v="0"/>
    <x v="2"/>
    <x v="0"/>
    <x v="1"/>
    <x v="1"/>
    <x v="1"/>
  </r>
  <r>
    <x v="2"/>
    <x v="1"/>
    <x v="0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x v="1"/>
    <n v="12"/>
    <n v="3"/>
    <n v="1"/>
    <n v="0"/>
    <n v="12"/>
    <n v="3"/>
    <n v="3"/>
    <n v="5"/>
    <n v="3"/>
    <n v="1"/>
    <n v="3"/>
    <n v="0"/>
    <x v="0"/>
    <x v="2"/>
    <x v="2"/>
    <x v="0"/>
    <x v="1"/>
  </r>
  <r>
    <x v="13"/>
    <x v="1"/>
    <x v="0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x v="1"/>
    <n v="12"/>
    <n v="3"/>
    <n v="4"/>
    <n v="0"/>
    <n v="14"/>
    <n v="6"/>
    <n v="3"/>
    <n v="11"/>
    <n v="10"/>
    <n v="5"/>
    <n v="8"/>
    <n v="0"/>
    <x v="2"/>
    <x v="3"/>
    <x v="3"/>
    <x v="3"/>
    <x v="1"/>
  </r>
  <r>
    <x v="9"/>
    <x v="1"/>
    <x v="1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x v="1"/>
    <n v="14"/>
    <n v="3"/>
    <n v="3"/>
    <n v="1"/>
    <n v="10"/>
    <n v="6"/>
    <n v="3"/>
    <n v="9"/>
    <n v="7"/>
    <n v="2"/>
    <n v="8"/>
    <n v="0"/>
    <x v="0"/>
    <x v="2"/>
    <x v="0"/>
    <x v="0"/>
    <x v="1"/>
  </r>
  <r>
    <x v="9"/>
    <x v="1"/>
    <x v="0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x v="1"/>
    <n v="22"/>
    <n v="4"/>
    <n v="1"/>
    <n v="1"/>
    <n v="7"/>
    <n v="2"/>
    <n v="3"/>
    <n v="1"/>
    <n v="0"/>
    <n v="0"/>
    <n v="0"/>
    <n v="0"/>
    <x v="0"/>
    <x v="1"/>
    <x v="1"/>
    <x v="0"/>
    <x v="1"/>
  </r>
  <r>
    <x v="23"/>
    <x v="1"/>
    <x v="1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  <n v="0"/>
    <x v="0"/>
    <x v="3"/>
    <x v="3"/>
    <x v="0"/>
    <x v="3"/>
  </r>
  <r>
    <x v="7"/>
    <x v="1"/>
    <x v="1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x v="1"/>
    <n v="25"/>
    <n v="4"/>
    <n v="3"/>
    <n v="3"/>
    <n v="10"/>
    <n v="2"/>
    <n v="2"/>
    <n v="10"/>
    <n v="7"/>
    <n v="0"/>
    <n v="9"/>
    <n v="0"/>
    <x v="2"/>
    <x v="1"/>
    <x v="0"/>
    <x v="2"/>
    <x v="2"/>
  </r>
  <r>
    <x v="3"/>
    <x v="1"/>
    <x v="2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x v="1"/>
    <n v="13"/>
    <n v="3"/>
    <n v="1"/>
    <n v="1"/>
    <n v="8"/>
    <n v="2"/>
    <n v="4"/>
    <n v="7"/>
    <n v="7"/>
    <n v="0"/>
    <n v="7"/>
    <n v="0"/>
    <x v="2"/>
    <x v="2"/>
    <x v="0"/>
    <x v="1"/>
    <x v="3"/>
  </r>
  <r>
    <x v="29"/>
    <x v="0"/>
    <x v="0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x v="0"/>
    <n v="18"/>
    <n v="3"/>
    <n v="1"/>
    <n v="3"/>
    <n v="7"/>
    <n v="2"/>
    <n v="3"/>
    <n v="5"/>
    <n v="4"/>
    <n v="4"/>
    <n v="3"/>
    <n v="1"/>
    <x v="3"/>
    <x v="0"/>
    <x v="2"/>
    <x v="1"/>
    <x v="1"/>
  </r>
  <r>
    <x v="31"/>
    <x v="1"/>
    <x v="0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x v="1"/>
    <n v="13"/>
    <n v="3"/>
    <n v="3"/>
    <n v="0"/>
    <n v="23"/>
    <n v="5"/>
    <n v="3"/>
    <n v="20"/>
    <n v="18"/>
    <n v="15"/>
    <n v="15"/>
    <n v="0"/>
    <x v="1"/>
    <x v="3"/>
    <x v="3"/>
    <x v="2"/>
    <x v="1"/>
  </r>
  <r>
    <x v="12"/>
    <x v="0"/>
    <x v="0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x v="0"/>
    <n v="18"/>
    <n v="3"/>
    <n v="2"/>
    <n v="0"/>
    <n v="12"/>
    <n v="3"/>
    <n v="2"/>
    <n v="7"/>
    <n v="7"/>
    <n v="7"/>
    <n v="7"/>
    <n v="1"/>
    <x v="2"/>
    <x v="2"/>
    <x v="0"/>
    <x v="2"/>
    <x v="2"/>
  </r>
  <r>
    <x v="25"/>
    <x v="1"/>
    <x v="0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x v="1"/>
    <n v="19"/>
    <n v="3"/>
    <n v="3"/>
    <n v="0"/>
    <n v="5"/>
    <n v="3"/>
    <n v="2"/>
    <n v="5"/>
    <n v="4"/>
    <n v="4"/>
    <n v="3"/>
    <n v="0"/>
    <x v="2"/>
    <x v="1"/>
    <x v="2"/>
    <x v="1"/>
    <x v="2"/>
  </r>
  <r>
    <x v="34"/>
    <x v="0"/>
    <x v="0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x v="1"/>
    <n v="12"/>
    <n v="3"/>
    <n v="4"/>
    <n v="1"/>
    <n v="40"/>
    <n v="3"/>
    <n v="2"/>
    <n v="40"/>
    <n v="10"/>
    <n v="15"/>
    <n v="6"/>
    <n v="1"/>
    <x v="3"/>
    <x v="3"/>
    <x v="3"/>
    <x v="0"/>
    <x v="2"/>
  </r>
  <r>
    <x v="37"/>
    <x v="0"/>
    <x v="0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x v="0"/>
    <n v="19"/>
    <n v="3"/>
    <n v="4"/>
    <n v="0"/>
    <n v="0"/>
    <n v="2"/>
    <n v="2"/>
    <n v="0"/>
    <n v="0"/>
    <n v="0"/>
    <n v="0"/>
    <n v="1"/>
    <x v="4"/>
    <x v="1"/>
    <x v="1"/>
    <x v="2"/>
    <x v="2"/>
  </r>
  <r>
    <x v="15"/>
    <x v="1"/>
    <x v="0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x v="1"/>
    <n v="14"/>
    <n v="3"/>
    <n v="3"/>
    <n v="1"/>
    <n v="3"/>
    <n v="2"/>
    <n v="3"/>
    <n v="2"/>
    <n v="1"/>
    <n v="2"/>
    <n v="1"/>
    <n v="0"/>
    <x v="4"/>
    <x v="1"/>
    <x v="2"/>
    <x v="0"/>
    <x v="1"/>
  </r>
  <r>
    <x v="1"/>
    <x v="1"/>
    <x v="0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x v="1"/>
    <n v="14"/>
    <n v="3"/>
    <n v="3"/>
    <n v="0"/>
    <n v="16"/>
    <n v="2"/>
    <n v="2"/>
    <n v="15"/>
    <n v="11"/>
    <n v="5"/>
    <n v="11"/>
    <n v="0"/>
    <x v="1"/>
    <x v="2"/>
    <x v="3"/>
    <x v="3"/>
    <x v="2"/>
  </r>
  <r>
    <x v="23"/>
    <x v="1"/>
    <x v="1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x v="1"/>
    <n v="12"/>
    <n v="3"/>
    <n v="4"/>
    <n v="0"/>
    <n v="18"/>
    <n v="2"/>
    <n v="3"/>
    <n v="3"/>
    <n v="2"/>
    <n v="1"/>
    <n v="2"/>
    <n v="0"/>
    <x v="0"/>
    <x v="0"/>
    <x v="2"/>
    <x v="2"/>
    <x v="1"/>
  </r>
  <r>
    <x v="24"/>
    <x v="1"/>
    <x v="1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x v="1"/>
    <n v="11"/>
    <n v="3"/>
    <n v="4"/>
    <n v="0"/>
    <n v="16"/>
    <n v="3"/>
    <n v="3"/>
    <n v="2"/>
    <n v="2"/>
    <n v="2"/>
    <n v="1"/>
    <n v="0"/>
    <x v="1"/>
    <x v="2"/>
    <x v="2"/>
    <x v="0"/>
    <x v="1"/>
  </r>
  <r>
    <x v="12"/>
    <x v="0"/>
    <x v="0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x v="0"/>
    <n v="11"/>
    <n v="3"/>
    <n v="3"/>
    <n v="1"/>
    <n v="4"/>
    <n v="2"/>
    <n v="3"/>
    <n v="2"/>
    <n v="2"/>
    <n v="2"/>
    <n v="2"/>
    <n v="1"/>
    <x v="2"/>
    <x v="0"/>
    <x v="2"/>
    <x v="2"/>
    <x v="1"/>
  </r>
  <r>
    <x v="0"/>
    <x v="1"/>
    <x v="0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x v="0"/>
    <n v="13"/>
    <n v="3"/>
    <n v="3"/>
    <n v="1"/>
    <n v="12"/>
    <n v="2"/>
    <n v="3"/>
    <n v="9"/>
    <n v="7"/>
    <n v="0"/>
    <n v="7"/>
    <n v="0"/>
    <x v="0"/>
    <x v="2"/>
    <x v="0"/>
    <x v="2"/>
    <x v="1"/>
  </r>
  <r>
    <x v="25"/>
    <x v="1"/>
    <x v="0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x v="1"/>
    <n v="23"/>
    <n v="4"/>
    <n v="4"/>
    <n v="1"/>
    <n v="8"/>
    <n v="3"/>
    <n v="3"/>
    <n v="8"/>
    <n v="7"/>
    <n v="5"/>
    <n v="7"/>
    <n v="0"/>
    <x v="2"/>
    <x v="1"/>
    <x v="0"/>
    <x v="2"/>
    <x v="1"/>
  </r>
  <r>
    <x v="9"/>
    <x v="1"/>
    <x v="0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x v="1"/>
    <n v="20"/>
    <n v="4"/>
    <n v="4"/>
    <n v="2"/>
    <n v="7"/>
    <n v="0"/>
    <n v="3"/>
    <n v="3"/>
    <n v="2"/>
    <n v="0"/>
    <n v="1"/>
    <n v="0"/>
    <x v="0"/>
    <x v="0"/>
    <x v="2"/>
    <x v="1"/>
    <x v="1"/>
  </r>
  <r>
    <x v="31"/>
    <x v="0"/>
    <x v="1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x v="1"/>
    <n v="15"/>
    <n v="3"/>
    <n v="4"/>
    <n v="0"/>
    <n v="18"/>
    <n v="2"/>
    <n v="3"/>
    <n v="4"/>
    <n v="2"/>
    <n v="0"/>
    <n v="3"/>
    <n v="1"/>
    <x v="1"/>
    <x v="3"/>
    <x v="2"/>
    <x v="0"/>
    <x v="1"/>
  </r>
  <r>
    <x v="22"/>
    <x v="1"/>
    <x v="0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x v="1"/>
    <n v="14"/>
    <n v="3"/>
    <n v="3"/>
    <n v="1"/>
    <n v="17"/>
    <n v="1"/>
    <n v="4"/>
    <n v="15"/>
    <n v="11"/>
    <n v="5"/>
    <n v="9"/>
    <n v="0"/>
    <x v="0"/>
    <x v="0"/>
    <x v="3"/>
    <x v="2"/>
    <x v="3"/>
  </r>
  <r>
    <x v="36"/>
    <x v="1"/>
    <x v="0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x v="1"/>
    <n v="18"/>
    <n v="3"/>
    <n v="4"/>
    <n v="0"/>
    <n v="6"/>
    <n v="3"/>
    <n v="3"/>
    <n v="2"/>
    <n v="2"/>
    <n v="2"/>
    <n v="2"/>
    <n v="0"/>
    <x v="4"/>
    <x v="2"/>
    <x v="2"/>
    <x v="2"/>
    <x v="1"/>
  </r>
  <r>
    <x v="7"/>
    <x v="1"/>
    <x v="0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x v="0"/>
    <n v="19"/>
    <n v="3"/>
    <n v="4"/>
    <n v="0"/>
    <n v="12"/>
    <n v="2"/>
    <n v="1"/>
    <n v="11"/>
    <n v="9"/>
    <n v="4"/>
    <n v="7"/>
    <n v="0"/>
    <x v="2"/>
    <x v="2"/>
    <x v="3"/>
    <x v="0"/>
    <x v="0"/>
  </r>
  <r>
    <x v="5"/>
    <x v="0"/>
    <x v="0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x v="1"/>
    <n v="22"/>
    <n v="4"/>
    <n v="1"/>
    <n v="0"/>
    <n v="10"/>
    <n v="2"/>
    <n v="4"/>
    <n v="5"/>
    <n v="4"/>
    <n v="0"/>
    <n v="4"/>
    <n v="1"/>
    <x v="2"/>
    <x v="0"/>
    <x v="2"/>
    <x v="3"/>
    <x v="3"/>
  </r>
  <r>
    <x v="28"/>
    <x v="1"/>
    <x v="0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x v="1"/>
    <n v="13"/>
    <n v="3"/>
    <n v="2"/>
    <n v="0"/>
    <n v="9"/>
    <n v="2"/>
    <n v="2"/>
    <n v="6"/>
    <n v="5"/>
    <n v="0"/>
    <n v="3"/>
    <n v="0"/>
    <x v="0"/>
    <x v="0"/>
    <x v="0"/>
    <x v="0"/>
    <x v="2"/>
  </r>
  <r>
    <x v="8"/>
    <x v="1"/>
    <x v="0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x v="0"/>
    <n v="20"/>
    <n v="4"/>
    <n v="2"/>
    <n v="0"/>
    <n v="19"/>
    <n v="2"/>
    <n v="3"/>
    <n v="3"/>
    <n v="2"/>
    <n v="2"/>
    <n v="2"/>
    <n v="0"/>
    <x v="0"/>
    <x v="0"/>
    <x v="2"/>
    <x v="2"/>
    <x v="1"/>
  </r>
  <r>
    <x v="7"/>
    <x v="1"/>
    <x v="0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x v="1"/>
    <n v="14"/>
    <n v="3"/>
    <n v="3"/>
    <n v="0"/>
    <n v="5"/>
    <n v="4"/>
    <n v="2"/>
    <n v="5"/>
    <n v="4"/>
    <n v="0"/>
    <n v="4"/>
    <n v="0"/>
    <x v="2"/>
    <x v="1"/>
    <x v="2"/>
    <x v="2"/>
    <x v="2"/>
  </r>
  <r>
    <x v="5"/>
    <x v="1"/>
    <x v="1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x v="1"/>
    <n v="17"/>
    <n v="3"/>
    <n v="4"/>
    <n v="3"/>
    <n v="9"/>
    <n v="2"/>
    <n v="4"/>
    <n v="8"/>
    <n v="7"/>
    <n v="0"/>
    <n v="7"/>
    <n v="0"/>
    <x v="2"/>
    <x v="0"/>
    <x v="0"/>
    <x v="0"/>
    <x v="3"/>
  </r>
  <r>
    <x v="7"/>
    <x v="1"/>
    <x v="0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x v="1"/>
    <n v="14"/>
    <n v="3"/>
    <n v="4"/>
    <n v="1"/>
    <n v="8"/>
    <n v="3"/>
    <n v="3"/>
    <n v="3"/>
    <n v="2"/>
    <n v="2"/>
    <n v="2"/>
    <n v="0"/>
    <x v="2"/>
    <x v="0"/>
    <x v="2"/>
    <x v="3"/>
    <x v="1"/>
  </r>
  <r>
    <x v="7"/>
    <x v="1"/>
    <x v="0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x v="1"/>
    <n v="13"/>
    <n v="3"/>
    <n v="4"/>
    <n v="0"/>
    <n v="6"/>
    <n v="3"/>
    <n v="3"/>
    <n v="5"/>
    <n v="3"/>
    <n v="1"/>
    <n v="2"/>
    <n v="0"/>
    <x v="2"/>
    <x v="1"/>
    <x v="2"/>
    <x v="0"/>
    <x v="1"/>
  </r>
  <r>
    <x v="0"/>
    <x v="1"/>
    <x v="1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x v="1"/>
    <n v="13"/>
    <n v="3"/>
    <n v="2"/>
    <n v="1"/>
    <n v="21"/>
    <n v="2"/>
    <n v="2"/>
    <n v="7"/>
    <n v="6"/>
    <n v="7"/>
    <n v="7"/>
    <n v="0"/>
    <x v="0"/>
    <x v="3"/>
    <x v="0"/>
    <x v="3"/>
    <x v="2"/>
  </r>
  <r>
    <x v="0"/>
    <x v="1"/>
    <x v="0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x v="1"/>
    <n v="21"/>
    <n v="4"/>
    <n v="4"/>
    <n v="1"/>
    <n v="7"/>
    <n v="2"/>
    <n v="3"/>
    <n v="5"/>
    <n v="0"/>
    <n v="1"/>
    <n v="4"/>
    <n v="0"/>
    <x v="0"/>
    <x v="1"/>
    <x v="2"/>
    <x v="3"/>
    <x v="1"/>
  </r>
  <r>
    <x v="37"/>
    <x v="1"/>
    <x v="0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x v="1"/>
    <n v="14"/>
    <n v="3"/>
    <n v="4"/>
    <n v="0"/>
    <n v="1"/>
    <n v="3"/>
    <n v="3"/>
    <n v="1"/>
    <n v="0"/>
    <n v="0"/>
    <n v="0"/>
    <n v="0"/>
    <x v="4"/>
    <x v="1"/>
    <x v="1"/>
    <x v="1"/>
    <x v="1"/>
  </r>
  <r>
    <x v="32"/>
    <x v="1"/>
    <x v="1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x v="1"/>
    <n v="11"/>
    <n v="3"/>
    <n v="1"/>
    <n v="1"/>
    <n v="20"/>
    <n v="2"/>
    <n v="3"/>
    <n v="20"/>
    <n v="7"/>
    <n v="2"/>
    <n v="13"/>
    <n v="0"/>
    <x v="0"/>
    <x v="0"/>
    <x v="3"/>
    <x v="1"/>
    <x v="1"/>
  </r>
  <r>
    <x v="10"/>
    <x v="1"/>
    <x v="0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x v="1"/>
    <n v="13"/>
    <n v="3"/>
    <n v="1"/>
    <n v="2"/>
    <n v="10"/>
    <n v="3"/>
    <n v="3"/>
    <n v="10"/>
    <n v="8"/>
    <n v="0"/>
    <n v="6"/>
    <n v="0"/>
    <x v="2"/>
    <x v="2"/>
    <x v="0"/>
    <x v="1"/>
    <x v="1"/>
  </r>
  <r>
    <x v="16"/>
    <x v="1"/>
    <x v="0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x v="0"/>
    <n v="20"/>
    <n v="4"/>
    <n v="4"/>
    <n v="1"/>
    <n v="13"/>
    <n v="3"/>
    <n v="1"/>
    <n v="7"/>
    <n v="7"/>
    <n v="4"/>
    <n v="5"/>
    <n v="0"/>
    <x v="1"/>
    <x v="1"/>
    <x v="0"/>
    <x v="2"/>
    <x v="0"/>
  </r>
  <r>
    <x v="28"/>
    <x v="1"/>
    <x v="0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x v="1"/>
    <n v="18"/>
    <n v="3"/>
    <n v="3"/>
    <n v="1"/>
    <n v="20"/>
    <n v="2"/>
    <n v="1"/>
    <n v="17"/>
    <n v="9"/>
    <n v="0"/>
    <n v="15"/>
    <n v="0"/>
    <x v="0"/>
    <x v="1"/>
    <x v="3"/>
    <x v="1"/>
    <x v="0"/>
  </r>
  <r>
    <x v="5"/>
    <x v="1"/>
    <x v="1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x v="1"/>
    <n v="14"/>
    <n v="3"/>
    <n v="4"/>
    <n v="0"/>
    <n v="9"/>
    <n v="2"/>
    <n v="3"/>
    <n v="9"/>
    <n v="8"/>
    <n v="3"/>
    <n v="7"/>
    <n v="0"/>
    <x v="2"/>
    <x v="2"/>
    <x v="0"/>
    <x v="0"/>
    <x v="1"/>
  </r>
  <r>
    <x v="11"/>
    <x v="1"/>
    <x v="2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x v="1"/>
    <n v="13"/>
    <n v="3"/>
    <n v="1"/>
    <n v="1"/>
    <n v="10"/>
    <n v="1"/>
    <n v="3"/>
    <n v="10"/>
    <n v="7"/>
    <n v="0"/>
    <n v="9"/>
    <n v="0"/>
    <x v="2"/>
    <x v="0"/>
    <x v="0"/>
    <x v="2"/>
    <x v="1"/>
  </r>
  <r>
    <x v="31"/>
    <x v="1"/>
    <x v="0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x v="1"/>
    <n v="17"/>
    <n v="3"/>
    <n v="3"/>
    <n v="0"/>
    <n v="10"/>
    <n v="2"/>
    <n v="3"/>
    <n v="1"/>
    <n v="0"/>
    <n v="0"/>
    <n v="0"/>
    <n v="0"/>
    <x v="1"/>
    <x v="2"/>
    <x v="1"/>
    <x v="2"/>
    <x v="1"/>
  </r>
  <r>
    <x v="34"/>
    <x v="1"/>
    <x v="0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x v="0"/>
    <n v="20"/>
    <n v="4"/>
    <n v="2"/>
    <n v="1"/>
    <n v="9"/>
    <n v="3"/>
    <n v="2"/>
    <n v="1"/>
    <n v="0"/>
    <n v="0"/>
    <n v="0"/>
    <n v="0"/>
    <x v="3"/>
    <x v="0"/>
    <x v="1"/>
    <x v="1"/>
    <x v="2"/>
  </r>
  <r>
    <x v="32"/>
    <x v="1"/>
    <x v="0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x v="1"/>
    <n v="11"/>
    <n v="3"/>
    <n v="1"/>
    <n v="1"/>
    <n v="15"/>
    <n v="2"/>
    <n v="2"/>
    <n v="12"/>
    <n v="11"/>
    <n v="2"/>
    <n v="11"/>
    <n v="0"/>
    <x v="0"/>
    <x v="3"/>
    <x v="3"/>
    <x v="0"/>
    <x v="2"/>
  </r>
  <r>
    <x v="13"/>
    <x v="1"/>
    <x v="1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x v="1"/>
    <n v="18"/>
    <n v="3"/>
    <n v="4"/>
    <n v="1"/>
    <n v="6"/>
    <n v="3"/>
    <n v="3"/>
    <n v="4"/>
    <n v="3"/>
    <n v="1"/>
    <n v="2"/>
    <n v="0"/>
    <x v="2"/>
    <x v="1"/>
    <x v="2"/>
    <x v="2"/>
    <x v="1"/>
  </r>
  <r>
    <x v="15"/>
    <x v="1"/>
    <x v="0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x v="1"/>
    <n v="24"/>
    <n v="4"/>
    <n v="1"/>
    <n v="2"/>
    <n v="2"/>
    <n v="6"/>
    <n v="3"/>
    <n v="2"/>
    <n v="2"/>
    <n v="2"/>
    <n v="2"/>
    <n v="0"/>
    <x v="4"/>
    <x v="1"/>
    <x v="2"/>
    <x v="0"/>
    <x v="1"/>
  </r>
  <r>
    <x v="4"/>
    <x v="1"/>
    <x v="2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x v="1"/>
    <n v="18"/>
    <n v="3"/>
    <n v="4"/>
    <n v="1"/>
    <n v="6"/>
    <n v="1"/>
    <n v="1"/>
    <n v="2"/>
    <n v="2"/>
    <n v="2"/>
    <n v="2"/>
    <n v="0"/>
    <x v="2"/>
    <x v="1"/>
    <x v="2"/>
    <x v="1"/>
    <x v="0"/>
  </r>
  <r>
    <x v="14"/>
    <x v="1"/>
    <x v="0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x v="1"/>
    <n v="11"/>
    <n v="3"/>
    <n v="3"/>
    <n v="1"/>
    <n v="5"/>
    <n v="2"/>
    <n v="1"/>
    <n v="5"/>
    <n v="2"/>
    <n v="0"/>
    <n v="2"/>
    <n v="0"/>
    <x v="2"/>
    <x v="1"/>
    <x v="2"/>
    <x v="0"/>
    <x v="0"/>
  </r>
  <r>
    <x v="38"/>
    <x v="1"/>
    <x v="0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x v="0"/>
    <n v="16"/>
    <n v="3"/>
    <n v="2"/>
    <n v="1"/>
    <n v="12"/>
    <n v="2"/>
    <n v="1"/>
    <n v="5"/>
    <n v="3"/>
    <n v="1"/>
    <n v="4"/>
    <n v="0"/>
    <x v="3"/>
    <x v="2"/>
    <x v="2"/>
    <x v="0"/>
    <x v="0"/>
  </r>
  <r>
    <x v="4"/>
    <x v="1"/>
    <x v="2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x v="0"/>
    <n v="15"/>
    <n v="3"/>
    <n v="4"/>
    <n v="1"/>
    <n v="1"/>
    <n v="2"/>
    <n v="2"/>
    <n v="1"/>
    <n v="1"/>
    <n v="0"/>
    <n v="1"/>
    <n v="0"/>
    <x v="2"/>
    <x v="1"/>
    <x v="1"/>
    <x v="2"/>
    <x v="2"/>
  </r>
  <r>
    <x v="24"/>
    <x v="1"/>
    <x v="0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x v="1"/>
    <n v="15"/>
    <n v="3"/>
    <n v="2"/>
    <n v="0"/>
    <n v="21"/>
    <n v="5"/>
    <n v="3"/>
    <n v="5"/>
    <n v="4"/>
    <n v="4"/>
    <n v="4"/>
    <n v="0"/>
    <x v="1"/>
    <x v="3"/>
    <x v="2"/>
    <x v="1"/>
    <x v="1"/>
  </r>
  <r>
    <x v="0"/>
    <x v="1"/>
    <x v="0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x v="1"/>
    <n v="12"/>
    <n v="3"/>
    <n v="1"/>
    <n v="1"/>
    <n v="13"/>
    <n v="2"/>
    <n v="3"/>
    <n v="9"/>
    <n v="8"/>
    <n v="1"/>
    <n v="8"/>
    <n v="0"/>
    <x v="0"/>
    <x v="1"/>
    <x v="0"/>
    <x v="2"/>
    <x v="1"/>
  </r>
  <r>
    <x v="7"/>
    <x v="1"/>
    <x v="0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x v="1"/>
    <n v="12"/>
    <n v="3"/>
    <n v="3"/>
    <n v="1"/>
    <n v="12"/>
    <n v="2"/>
    <n v="3"/>
    <n v="10"/>
    <n v="9"/>
    <n v="7"/>
    <n v="4"/>
    <n v="0"/>
    <x v="2"/>
    <x v="2"/>
    <x v="0"/>
    <x v="0"/>
    <x v="1"/>
  </r>
  <r>
    <x v="8"/>
    <x v="1"/>
    <x v="0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x v="1"/>
    <n v="22"/>
    <n v="4"/>
    <n v="3"/>
    <n v="0"/>
    <n v="12"/>
    <n v="2"/>
    <n v="4"/>
    <n v="8"/>
    <n v="3"/>
    <n v="0"/>
    <n v="7"/>
    <n v="0"/>
    <x v="0"/>
    <x v="2"/>
    <x v="0"/>
    <x v="0"/>
    <x v="3"/>
  </r>
  <r>
    <x v="5"/>
    <x v="1"/>
    <x v="0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x v="1"/>
    <n v="20"/>
    <n v="4"/>
    <n v="1"/>
    <n v="0"/>
    <n v="8"/>
    <n v="2"/>
    <n v="3"/>
    <n v="5"/>
    <n v="4"/>
    <n v="1"/>
    <n v="4"/>
    <n v="0"/>
    <x v="2"/>
    <x v="0"/>
    <x v="2"/>
    <x v="2"/>
    <x v="1"/>
  </r>
  <r>
    <x v="4"/>
    <x v="1"/>
    <x v="0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x v="0"/>
    <n v="16"/>
    <n v="3"/>
    <n v="4"/>
    <n v="1"/>
    <n v="6"/>
    <n v="3"/>
    <n v="2"/>
    <n v="5"/>
    <n v="2"/>
    <n v="1"/>
    <n v="1"/>
    <n v="0"/>
    <x v="2"/>
    <x v="0"/>
    <x v="2"/>
    <x v="1"/>
    <x v="2"/>
  </r>
  <r>
    <x v="37"/>
    <x v="0"/>
    <x v="1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x v="1"/>
    <n v="21"/>
    <n v="4"/>
    <n v="1"/>
    <n v="0"/>
    <n v="1"/>
    <n v="5"/>
    <n v="4"/>
    <n v="0"/>
    <n v="0"/>
    <n v="0"/>
    <n v="0"/>
    <n v="1"/>
    <x v="4"/>
    <x v="1"/>
    <x v="1"/>
    <x v="3"/>
    <x v="3"/>
  </r>
  <r>
    <x v="9"/>
    <x v="1"/>
    <x v="1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x v="1"/>
    <n v="12"/>
    <n v="3"/>
    <n v="3"/>
    <n v="0"/>
    <n v="13"/>
    <n v="3"/>
    <n v="2"/>
    <n v="8"/>
    <n v="7"/>
    <n v="7"/>
    <n v="2"/>
    <n v="0"/>
    <x v="0"/>
    <x v="1"/>
    <x v="0"/>
    <x v="1"/>
    <x v="2"/>
  </r>
  <r>
    <x v="7"/>
    <x v="1"/>
    <x v="2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x v="1"/>
    <n v="11"/>
    <n v="3"/>
    <n v="3"/>
    <n v="2"/>
    <n v="12"/>
    <n v="4"/>
    <n v="3"/>
    <n v="12"/>
    <n v="9"/>
    <n v="6"/>
    <n v="10"/>
    <n v="0"/>
    <x v="2"/>
    <x v="0"/>
    <x v="3"/>
    <x v="3"/>
    <x v="1"/>
  </r>
  <r>
    <x v="28"/>
    <x v="1"/>
    <x v="0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x v="0"/>
    <n v="11"/>
    <n v="3"/>
    <n v="1"/>
    <n v="1"/>
    <n v="9"/>
    <n v="3"/>
    <n v="4"/>
    <n v="5"/>
    <n v="4"/>
    <n v="0"/>
    <n v="3"/>
    <n v="0"/>
    <x v="0"/>
    <x v="0"/>
    <x v="2"/>
    <x v="3"/>
    <x v="3"/>
  </r>
  <r>
    <x v="29"/>
    <x v="1"/>
    <x v="0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x v="0"/>
    <n v="18"/>
    <n v="3"/>
    <n v="3"/>
    <n v="1"/>
    <n v="19"/>
    <n v="3"/>
    <n v="3"/>
    <n v="2"/>
    <n v="2"/>
    <n v="2"/>
    <n v="2"/>
    <n v="0"/>
    <x v="3"/>
    <x v="0"/>
    <x v="2"/>
    <x v="3"/>
    <x v="1"/>
  </r>
  <r>
    <x v="3"/>
    <x v="1"/>
    <x v="0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x v="1"/>
    <n v="14"/>
    <n v="3"/>
    <n v="1"/>
    <n v="0"/>
    <n v="4"/>
    <n v="2"/>
    <n v="4"/>
    <n v="3"/>
    <n v="1"/>
    <n v="0"/>
    <n v="2"/>
    <n v="0"/>
    <x v="2"/>
    <x v="1"/>
    <x v="2"/>
    <x v="0"/>
    <x v="3"/>
  </r>
  <r>
    <x v="37"/>
    <x v="0"/>
    <x v="0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x v="1"/>
    <n v="22"/>
    <n v="4"/>
    <n v="3"/>
    <n v="0"/>
    <n v="1"/>
    <n v="3"/>
    <n v="2"/>
    <n v="1"/>
    <n v="0"/>
    <n v="1"/>
    <n v="0"/>
    <n v="1"/>
    <x v="4"/>
    <x v="1"/>
    <x v="1"/>
    <x v="0"/>
    <x v="2"/>
  </r>
  <r>
    <x v="21"/>
    <x v="1"/>
    <x v="0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  <n v="0"/>
    <x v="1"/>
    <x v="3"/>
    <x v="3"/>
    <x v="3"/>
    <x v="1"/>
  </r>
  <r>
    <x v="8"/>
    <x v="1"/>
    <x v="0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x v="1"/>
    <n v="12"/>
    <n v="3"/>
    <n v="3"/>
    <n v="0"/>
    <n v="2"/>
    <n v="3"/>
    <n v="3"/>
    <n v="2"/>
    <n v="2"/>
    <n v="2"/>
    <n v="1"/>
    <n v="0"/>
    <x v="0"/>
    <x v="1"/>
    <x v="2"/>
    <x v="0"/>
    <x v="1"/>
  </r>
  <r>
    <x v="12"/>
    <x v="1"/>
    <x v="0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x v="0"/>
    <n v="23"/>
    <n v="4"/>
    <n v="3"/>
    <n v="1"/>
    <n v="7"/>
    <n v="0"/>
    <n v="3"/>
    <n v="4"/>
    <n v="2"/>
    <n v="0"/>
    <n v="2"/>
    <n v="0"/>
    <x v="2"/>
    <x v="0"/>
    <x v="2"/>
    <x v="0"/>
    <x v="1"/>
  </r>
  <r>
    <x v="13"/>
    <x v="1"/>
    <x v="0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x v="1"/>
    <n v="15"/>
    <n v="3"/>
    <n v="4"/>
    <n v="0"/>
    <n v="9"/>
    <n v="3"/>
    <n v="3"/>
    <n v="3"/>
    <n v="2"/>
    <n v="1"/>
    <n v="2"/>
    <n v="0"/>
    <x v="2"/>
    <x v="1"/>
    <x v="2"/>
    <x v="1"/>
    <x v="1"/>
  </r>
  <r>
    <x v="0"/>
    <x v="0"/>
    <x v="0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x v="0"/>
    <n v="22"/>
    <n v="4"/>
    <n v="4"/>
    <n v="0"/>
    <n v="4"/>
    <n v="5"/>
    <n v="2"/>
    <n v="4"/>
    <n v="3"/>
    <n v="0"/>
    <n v="2"/>
    <n v="1"/>
    <x v="0"/>
    <x v="0"/>
    <x v="2"/>
    <x v="1"/>
    <x v="2"/>
  </r>
  <r>
    <x v="24"/>
    <x v="1"/>
    <x v="0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x v="1"/>
    <n v="15"/>
    <n v="3"/>
    <n v="4"/>
    <n v="1"/>
    <n v="5"/>
    <n v="2"/>
    <n v="2"/>
    <n v="3"/>
    <n v="2"/>
    <n v="0"/>
    <n v="2"/>
    <n v="0"/>
    <x v="1"/>
    <x v="0"/>
    <x v="2"/>
    <x v="2"/>
    <x v="2"/>
  </r>
  <r>
    <x v="16"/>
    <x v="1"/>
    <x v="0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x v="1"/>
    <n v="11"/>
    <n v="3"/>
    <n v="3"/>
    <n v="2"/>
    <n v="5"/>
    <n v="3"/>
    <n v="3"/>
    <n v="4"/>
    <n v="2"/>
    <n v="1"/>
    <n v="3"/>
    <n v="0"/>
    <x v="1"/>
    <x v="0"/>
    <x v="2"/>
    <x v="3"/>
    <x v="1"/>
  </r>
  <r>
    <x v="3"/>
    <x v="1"/>
    <x v="0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x v="1"/>
    <n v="13"/>
    <n v="3"/>
    <n v="4"/>
    <n v="1"/>
    <n v="8"/>
    <n v="5"/>
    <n v="3"/>
    <n v="8"/>
    <n v="7"/>
    <n v="1"/>
    <n v="6"/>
    <n v="0"/>
    <x v="2"/>
    <x v="1"/>
    <x v="0"/>
    <x v="1"/>
    <x v="1"/>
  </r>
  <r>
    <x v="32"/>
    <x v="1"/>
    <x v="0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x v="1"/>
    <n v="14"/>
    <n v="3"/>
    <n v="2"/>
    <n v="1"/>
    <n v="21"/>
    <n v="2"/>
    <n v="3"/>
    <n v="20"/>
    <n v="8"/>
    <n v="9"/>
    <n v="9"/>
    <n v="0"/>
    <x v="0"/>
    <x v="3"/>
    <x v="3"/>
    <x v="2"/>
    <x v="1"/>
  </r>
  <r>
    <x v="27"/>
    <x v="1"/>
    <x v="0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x v="1"/>
    <n v="11"/>
    <n v="3"/>
    <n v="4"/>
    <n v="0"/>
    <n v="36"/>
    <n v="3"/>
    <n v="3"/>
    <n v="24"/>
    <n v="15"/>
    <n v="2"/>
    <n v="15"/>
    <n v="0"/>
    <x v="1"/>
    <x v="3"/>
    <x v="3"/>
    <x v="1"/>
    <x v="1"/>
  </r>
  <r>
    <x v="13"/>
    <x v="1"/>
    <x v="1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x v="1"/>
    <n v="17"/>
    <n v="3"/>
    <n v="3"/>
    <n v="0"/>
    <n v="10"/>
    <n v="2"/>
    <n v="2"/>
    <n v="10"/>
    <n v="9"/>
    <n v="1"/>
    <n v="9"/>
    <n v="0"/>
    <x v="2"/>
    <x v="2"/>
    <x v="0"/>
    <x v="2"/>
    <x v="2"/>
  </r>
  <r>
    <x v="31"/>
    <x v="1"/>
    <x v="0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x v="1"/>
    <n v="18"/>
    <n v="3"/>
    <n v="3"/>
    <n v="0"/>
    <n v="21"/>
    <n v="6"/>
    <n v="3"/>
    <n v="7"/>
    <n v="7"/>
    <n v="1"/>
    <n v="0"/>
    <n v="0"/>
    <x v="1"/>
    <x v="3"/>
    <x v="0"/>
    <x v="1"/>
    <x v="1"/>
  </r>
  <r>
    <x v="39"/>
    <x v="1"/>
    <x v="0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x v="1"/>
    <n v="14"/>
    <n v="3"/>
    <n v="1"/>
    <n v="1"/>
    <n v="34"/>
    <n v="5"/>
    <n v="3"/>
    <n v="33"/>
    <n v="18"/>
    <n v="11"/>
    <n v="9"/>
    <n v="0"/>
    <x v="1"/>
    <x v="3"/>
    <x v="3"/>
    <x v="2"/>
    <x v="1"/>
  </r>
  <r>
    <x v="4"/>
    <x v="1"/>
    <x v="0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x v="1"/>
    <n v="16"/>
    <n v="3"/>
    <n v="4"/>
    <n v="0"/>
    <n v="7"/>
    <n v="2"/>
    <n v="2"/>
    <n v="7"/>
    <n v="7"/>
    <n v="0"/>
    <n v="3"/>
    <n v="0"/>
    <x v="2"/>
    <x v="1"/>
    <x v="0"/>
    <x v="1"/>
    <x v="2"/>
  </r>
  <r>
    <x v="10"/>
    <x v="0"/>
    <x v="0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x v="0"/>
    <n v="13"/>
    <n v="3"/>
    <n v="1"/>
    <n v="0"/>
    <n v="8"/>
    <n v="1"/>
    <n v="3"/>
    <n v="1"/>
    <n v="0"/>
    <n v="0"/>
    <n v="1"/>
    <n v="1"/>
    <x v="2"/>
    <x v="0"/>
    <x v="1"/>
    <x v="2"/>
    <x v="1"/>
  </r>
  <r>
    <x v="23"/>
    <x v="1"/>
    <x v="2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x v="1"/>
    <n v="14"/>
    <n v="3"/>
    <n v="4"/>
    <n v="3"/>
    <n v="7"/>
    <n v="3"/>
    <n v="4"/>
    <n v="5"/>
    <n v="4"/>
    <n v="2"/>
    <n v="2"/>
    <n v="0"/>
    <x v="0"/>
    <x v="1"/>
    <x v="2"/>
    <x v="0"/>
    <x v="3"/>
  </r>
  <r>
    <x v="28"/>
    <x v="1"/>
    <x v="2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x v="1"/>
    <n v="23"/>
    <n v="4"/>
    <n v="4"/>
    <n v="1"/>
    <n v="22"/>
    <n v="1"/>
    <n v="3"/>
    <n v="20"/>
    <n v="8"/>
    <n v="11"/>
    <n v="8"/>
    <n v="0"/>
    <x v="0"/>
    <x v="3"/>
    <x v="3"/>
    <x v="0"/>
    <x v="1"/>
  </r>
  <r>
    <x v="2"/>
    <x v="1"/>
    <x v="0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x v="0"/>
    <n v="12"/>
    <n v="3"/>
    <n v="1"/>
    <n v="1"/>
    <n v="8"/>
    <n v="3"/>
    <n v="2"/>
    <n v="8"/>
    <n v="7"/>
    <n v="1"/>
    <n v="7"/>
    <n v="0"/>
    <x v="0"/>
    <x v="0"/>
    <x v="0"/>
    <x v="3"/>
    <x v="2"/>
  </r>
  <r>
    <x v="10"/>
    <x v="1"/>
    <x v="1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x v="1"/>
    <n v="11"/>
    <n v="3"/>
    <n v="4"/>
    <n v="0"/>
    <n v="10"/>
    <n v="5"/>
    <n v="3"/>
    <n v="6"/>
    <n v="2"/>
    <n v="1"/>
    <n v="2"/>
    <n v="0"/>
    <x v="2"/>
    <x v="0"/>
    <x v="0"/>
    <x v="1"/>
    <x v="1"/>
  </r>
  <r>
    <x v="19"/>
    <x v="1"/>
    <x v="2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x v="1"/>
    <n v="16"/>
    <n v="3"/>
    <n v="2"/>
    <n v="1"/>
    <n v="11"/>
    <n v="5"/>
    <n v="3"/>
    <n v="5"/>
    <n v="3"/>
    <n v="0"/>
    <n v="2"/>
    <n v="0"/>
    <x v="0"/>
    <x v="0"/>
    <x v="2"/>
    <x v="2"/>
    <x v="1"/>
  </r>
  <r>
    <x v="8"/>
    <x v="1"/>
    <x v="0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x v="1"/>
    <n v="14"/>
    <n v="3"/>
    <n v="2"/>
    <n v="0"/>
    <n v="14"/>
    <n v="3"/>
    <n v="3"/>
    <n v="1"/>
    <n v="0"/>
    <n v="0"/>
    <n v="0"/>
    <n v="0"/>
    <x v="0"/>
    <x v="2"/>
    <x v="1"/>
    <x v="2"/>
    <x v="1"/>
  </r>
  <r>
    <x v="8"/>
    <x v="1"/>
    <x v="0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x v="1"/>
    <n v="18"/>
    <n v="3"/>
    <n v="1"/>
    <n v="1"/>
    <n v="9"/>
    <n v="3"/>
    <n v="1"/>
    <n v="7"/>
    <n v="7"/>
    <n v="1"/>
    <n v="7"/>
    <n v="0"/>
    <x v="0"/>
    <x v="2"/>
    <x v="0"/>
    <x v="0"/>
    <x v="0"/>
  </r>
  <r>
    <x v="4"/>
    <x v="1"/>
    <x v="1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x v="1"/>
    <n v="19"/>
    <n v="3"/>
    <n v="3"/>
    <n v="1"/>
    <n v="6"/>
    <n v="1"/>
    <n v="3"/>
    <n v="2"/>
    <n v="2"/>
    <n v="2"/>
    <n v="0"/>
    <n v="0"/>
    <x v="2"/>
    <x v="0"/>
    <x v="2"/>
    <x v="3"/>
    <x v="1"/>
  </r>
  <r>
    <x v="1"/>
    <x v="1"/>
    <x v="2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x v="0"/>
    <n v="15"/>
    <n v="3"/>
    <n v="1"/>
    <n v="2"/>
    <n v="7"/>
    <n v="0"/>
    <n v="3"/>
    <n v="7"/>
    <n v="7"/>
    <n v="1"/>
    <n v="7"/>
    <n v="0"/>
    <x v="1"/>
    <x v="2"/>
    <x v="0"/>
    <x v="0"/>
    <x v="1"/>
  </r>
  <r>
    <x v="13"/>
    <x v="1"/>
    <x v="1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x v="0"/>
    <n v="17"/>
    <n v="3"/>
    <n v="4"/>
    <n v="1"/>
    <n v="5"/>
    <n v="4"/>
    <n v="4"/>
    <n v="5"/>
    <n v="3"/>
    <n v="2"/>
    <n v="0"/>
    <n v="0"/>
    <x v="2"/>
    <x v="0"/>
    <x v="2"/>
    <x v="2"/>
    <x v="3"/>
  </r>
  <r>
    <x v="32"/>
    <x v="1"/>
    <x v="0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x v="0"/>
    <n v="15"/>
    <n v="3"/>
    <n v="3"/>
    <n v="1"/>
    <n v="15"/>
    <n v="2"/>
    <n v="4"/>
    <n v="7"/>
    <n v="2"/>
    <n v="3"/>
    <n v="7"/>
    <n v="0"/>
    <x v="0"/>
    <x v="1"/>
    <x v="0"/>
    <x v="0"/>
    <x v="3"/>
  </r>
  <r>
    <x v="8"/>
    <x v="0"/>
    <x v="0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x v="0"/>
    <n v="19"/>
    <n v="3"/>
    <n v="2"/>
    <n v="0"/>
    <n v="17"/>
    <n v="2"/>
    <n v="3"/>
    <n v="1"/>
    <n v="0"/>
    <n v="0"/>
    <n v="0"/>
    <n v="1"/>
    <x v="0"/>
    <x v="2"/>
    <x v="1"/>
    <x v="3"/>
    <x v="1"/>
  </r>
  <r>
    <x v="11"/>
    <x v="0"/>
    <x v="0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x v="1"/>
    <n v="22"/>
    <n v="4"/>
    <n v="4"/>
    <n v="3"/>
    <n v="10"/>
    <n v="3"/>
    <n v="2"/>
    <n v="10"/>
    <n v="4"/>
    <n v="1"/>
    <n v="9"/>
    <n v="1"/>
    <x v="2"/>
    <x v="2"/>
    <x v="0"/>
    <x v="0"/>
    <x v="2"/>
  </r>
  <r>
    <x v="15"/>
    <x v="1"/>
    <x v="0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x v="0"/>
    <n v="16"/>
    <n v="3"/>
    <n v="1"/>
    <n v="1"/>
    <n v="4"/>
    <n v="2"/>
    <n v="2"/>
    <n v="4"/>
    <n v="2"/>
    <n v="2"/>
    <n v="2"/>
    <n v="0"/>
    <x v="4"/>
    <x v="1"/>
    <x v="2"/>
    <x v="1"/>
    <x v="2"/>
  </r>
  <r>
    <x v="9"/>
    <x v="1"/>
    <x v="1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x v="1"/>
    <n v="13"/>
    <n v="3"/>
    <n v="1"/>
    <n v="0"/>
    <n v="8"/>
    <n v="2"/>
    <n v="3"/>
    <n v="8"/>
    <n v="1"/>
    <n v="1"/>
    <n v="7"/>
    <n v="0"/>
    <x v="0"/>
    <x v="1"/>
    <x v="0"/>
    <x v="0"/>
    <x v="1"/>
  </r>
  <r>
    <x v="32"/>
    <x v="1"/>
    <x v="2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x v="1"/>
    <n v="14"/>
    <n v="3"/>
    <n v="4"/>
    <n v="1"/>
    <n v="5"/>
    <n v="5"/>
    <n v="1"/>
    <n v="3"/>
    <n v="2"/>
    <n v="0"/>
    <n v="2"/>
    <n v="0"/>
    <x v="0"/>
    <x v="0"/>
    <x v="2"/>
    <x v="0"/>
    <x v="0"/>
  </r>
  <r>
    <x v="21"/>
    <x v="1"/>
    <x v="0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x v="1"/>
    <n v="16"/>
    <n v="3"/>
    <n v="3"/>
    <n v="1"/>
    <n v="17"/>
    <n v="3"/>
    <n v="3"/>
    <n v="4"/>
    <n v="2"/>
    <n v="0"/>
    <n v="3"/>
    <n v="0"/>
    <x v="1"/>
    <x v="2"/>
    <x v="2"/>
    <x v="3"/>
    <x v="1"/>
  </r>
  <r>
    <x v="5"/>
    <x v="0"/>
    <x v="0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x v="1"/>
    <n v="11"/>
    <n v="3"/>
    <n v="3"/>
    <n v="0"/>
    <n v="14"/>
    <n v="2"/>
    <n v="2"/>
    <n v="14"/>
    <n v="8"/>
    <n v="9"/>
    <n v="8"/>
    <n v="1"/>
    <x v="2"/>
    <x v="3"/>
    <x v="3"/>
    <x v="0"/>
    <x v="2"/>
  </r>
  <r>
    <x v="7"/>
    <x v="1"/>
    <x v="2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x v="1"/>
    <n v="22"/>
    <n v="4"/>
    <n v="3"/>
    <n v="0"/>
    <n v="12"/>
    <n v="2"/>
    <n v="3"/>
    <n v="11"/>
    <n v="8"/>
    <n v="5"/>
    <n v="8"/>
    <n v="0"/>
    <x v="2"/>
    <x v="2"/>
    <x v="3"/>
    <x v="2"/>
    <x v="1"/>
  </r>
  <r>
    <x v="4"/>
    <x v="1"/>
    <x v="1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x v="1"/>
    <n v="14"/>
    <n v="3"/>
    <n v="4"/>
    <n v="0"/>
    <n v="7"/>
    <n v="2"/>
    <n v="3"/>
    <n v="7"/>
    <n v="7"/>
    <n v="0"/>
    <n v="7"/>
    <n v="0"/>
    <x v="2"/>
    <x v="2"/>
    <x v="0"/>
    <x v="2"/>
    <x v="1"/>
  </r>
  <r>
    <x v="31"/>
    <x v="1"/>
    <x v="0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x v="1"/>
    <n v="16"/>
    <n v="3"/>
    <n v="4"/>
    <n v="2"/>
    <n v="16"/>
    <n v="5"/>
    <n v="1"/>
    <n v="10"/>
    <n v="9"/>
    <n v="4"/>
    <n v="7"/>
    <n v="0"/>
    <x v="1"/>
    <x v="3"/>
    <x v="0"/>
    <x v="1"/>
    <x v="0"/>
  </r>
  <r>
    <x v="7"/>
    <x v="0"/>
    <x v="0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x v="0"/>
    <n v="11"/>
    <n v="3"/>
    <n v="3"/>
    <n v="0"/>
    <n v="8"/>
    <n v="5"/>
    <n v="3"/>
    <n v="5"/>
    <n v="2"/>
    <n v="0"/>
    <n v="4"/>
    <n v="1"/>
    <x v="2"/>
    <x v="1"/>
    <x v="2"/>
    <x v="3"/>
    <x v="1"/>
  </r>
  <r>
    <x v="0"/>
    <x v="1"/>
    <x v="0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x v="0"/>
    <n v="18"/>
    <n v="3"/>
    <n v="3"/>
    <n v="0"/>
    <n v="16"/>
    <n v="3"/>
    <n v="3"/>
    <n v="1"/>
    <n v="0"/>
    <n v="0"/>
    <n v="0"/>
    <n v="0"/>
    <x v="0"/>
    <x v="3"/>
    <x v="1"/>
    <x v="0"/>
    <x v="1"/>
  </r>
  <r>
    <x v="7"/>
    <x v="0"/>
    <x v="1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x v="1"/>
    <n v="15"/>
    <n v="3"/>
    <n v="3"/>
    <n v="0"/>
    <n v="9"/>
    <n v="5"/>
    <n v="2"/>
    <n v="6"/>
    <n v="3"/>
    <n v="0"/>
    <n v="1"/>
    <n v="1"/>
    <x v="2"/>
    <x v="2"/>
    <x v="0"/>
    <x v="3"/>
    <x v="2"/>
  </r>
  <r>
    <x v="11"/>
    <x v="0"/>
    <x v="0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x v="1"/>
    <n v="14"/>
    <n v="3"/>
    <n v="4"/>
    <n v="0"/>
    <n v="7"/>
    <n v="1"/>
    <n v="2"/>
    <n v="6"/>
    <n v="2"/>
    <n v="1"/>
    <n v="5"/>
    <n v="1"/>
    <x v="2"/>
    <x v="1"/>
    <x v="0"/>
    <x v="2"/>
    <x v="2"/>
  </r>
  <r>
    <x v="28"/>
    <x v="1"/>
    <x v="2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x v="1"/>
    <n v="12"/>
    <n v="3"/>
    <n v="4"/>
    <n v="0"/>
    <n v="23"/>
    <n v="2"/>
    <n v="3"/>
    <n v="19"/>
    <n v="7"/>
    <n v="12"/>
    <n v="8"/>
    <n v="0"/>
    <x v="0"/>
    <x v="2"/>
    <x v="3"/>
    <x v="0"/>
    <x v="1"/>
  </r>
  <r>
    <x v="33"/>
    <x v="1"/>
    <x v="0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x v="1"/>
    <n v="14"/>
    <n v="3"/>
    <n v="4"/>
    <n v="1"/>
    <n v="16"/>
    <n v="4"/>
    <n v="3"/>
    <n v="6"/>
    <n v="2"/>
    <n v="0"/>
    <n v="5"/>
    <n v="0"/>
    <x v="1"/>
    <x v="0"/>
    <x v="0"/>
    <x v="3"/>
    <x v="1"/>
  </r>
  <r>
    <x v="9"/>
    <x v="1"/>
    <x v="0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x v="1"/>
    <n v="16"/>
    <n v="3"/>
    <n v="4"/>
    <n v="0"/>
    <n v="16"/>
    <n v="3"/>
    <n v="4"/>
    <n v="13"/>
    <n v="11"/>
    <n v="3"/>
    <n v="7"/>
    <n v="0"/>
    <x v="0"/>
    <x v="0"/>
    <x v="3"/>
    <x v="1"/>
    <x v="3"/>
  </r>
  <r>
    <x v="3"/>
    <x v="1"/>
    <x v="0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x v="1"/>
    <n v="21"/>
    <n v="4"/>
    <n v="4"/>
    <n v="0"/>
    <n v="7"/>
    <n v="3"/>
    <n v="3"/>
    <n v="3"/>
    <n v="2"/>
    <n v="1"/>
    <n v="1"/>
    <n v="0"/>
    <x v="2"/>
    <x v="1"/>
    <x v="2"/>
    <x v="1"/>
    <x v="1"/>
  </r>
  <r>
    <x v="2"/>
    <x v="1"/>
    <x v="1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x v="0"/>
    <n v="14"/>
    <n v="3"/>
    <n v="3"/>
    <n v="3"/>
    <n v="10"/>
    <n v="1"/>
    <n v="3"/>
    <n v="10"/>
    <n v="8"/>
    <n v="0"/>
    <n v="7"/>
    <n v="0"/>
    <x v="0"/>
    <x v="3"/>
    <x v="0"/>
    <x v="0"/>
    <x v="1"/>
  </r>
  <r>
    <x v="8"/>
    <x v="1"/>
    <x v="0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  <n v="0"/>
    <x v="0"/>
    <x v="3"/>
    <x v="3"/>
    <x v="2"/>
    <x v="2"/>
  </r>
  <r>
    <x v="12"/>
    <x v="1"/>
    <x v="2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x v="1"/>
    <n v="12"/>
    <n v="3"/>
    <n v="4"/>
    <n v="1"/>
    <n v="6"/>
    <n v="2"/>
    <n v="3"/>
    <n v="5"/>
    <n v="4"/>
    <n v="1"/>
    <n v="4"/>
    <n v="0"/>
    <x v="2"/>
    <x v="0"/>
    <x v="2"/>
    <x v="2"/>
    <x v="1"/>
  </r>
  <r>
    <x v="6"/>
    <x v="1"/>
    <x v="0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x v="1"/>
    <n v="17"/>
    <n v="3"/>
    <n v="1"/>
    <n v="1"/>
    <n v="7"/>
    <n v="6"/>
    <n v="3"/>
    <n v="1"/>
    <n v="0"/>
    <n v="0"/>
    <n v="0"/>
    <n v="0"/>
    <x v="3"/>
    <x v="1"/>
    <x v="1"/>
    <x v="0"/>
    <x v="1"/>
  </r>
  <r>
    <x v="2"/>
    <x v="1"/>
    <x v="1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x v="1"/>
    <n v="17"/>
    <n v="3"/>
    <n v="3"/>
    <n v="1"/>
    <n v="13"/>
    <n v="2"/>
    <n v="3"/>
    <n v="9"/>
    <n v="8"/>
    <n v="5"/>
    <n v="8"/>
    <n v="0"/>
    <x v="0"/>
    <x v="1"/>
    <x v="0"/>
    <x v="0"/>
    <x v="1"/>
  </r>
  <r>
    <x v="11"/>
    <x v="1"/>
    <x v="1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x v="1"/>
    <n v="14"/>
    <n v="3"/>
    <n v="4"/>
    <n v="1"/>
    <n v="11"/>
    <n v="5"/>
    <n v="3"/>
    <n v="11"/>
    <n v="10"/>
    <n v="4"/>
    <n v="1"/>
    <n v="0"/>
    <x v="2"/>
    <x v="2"/>
    <x v="3"/>
    <x v="0"/>
    <x v="1"/>
  </r>
  <r>
    <x v="10"/>
    <x v="1"/>
    <x v="1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x v="1"/>
    <n v="14"/>
    <n v="3"/>
    <n v="1"/>
    <n v="0"/>
    <n v="10"/>
    <n v="3"/>
    <n v="4"/>
    <n v="10"/>
    <n v="7"/>
    <n v="0"/>
    <n v="8"/>
    <n v="0"/>
    <x v="2"/>
    <x v="2"/>
    <x v="0"/>
    <x v="2"/>
    <x v="3"/>
  </r>
  <r>
    <x v="11"/>
    <x v="0"/>
    <x v="0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x v="0"/>
    <n v="13"/>
    <n v="3"/>
    <n v="3"/>
    <n v="0"/>
    <n v="4"/>
    <n v="3"/>
    <n v="2"/>
    <n v="4"/>
    <n v="3"/>
    <n v="0"/>
    <n v="1"/>
    <n v="1"/>
    <x v="2"/>
    <x v="1"/>
    <x v="2"/>
    <x v="0"/>
    <x v="2"/>
  </r>
  <r>
    <x v="39"/>
    <x v="1"/>
    <x v="0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x v="1"/>
    <n v="15"/>
    <n v="3"/>
    <n v="2"/>
    <n v="0"/>
    <n v="6"/>
    <n v="3"/>
    <n v="2"/>
    <n v="2"/>
    <n v="2"/>
    <n v="2"/>
    <n v="2"/>
    <n v="0"/>
    <x v="1"/>
    <x v="0"/>
    <x v="2"/>
    <x v="0"/>
    <x v="2"/>
  </r>
  <r>
    <x v="19"/>
    <x v="1"/>
    <x v="0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  <n v="0"/>
    <x v="0"/>
    <x v="3"/>
    <x v="3"/>
    <x v="0"/>
    <x v="1"/>
  </r>
  <r>
    <x v="6"/>
    <x v="1"/>
    <x v="0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x v="1"/>
    <n v="17"/>
    <n v="3"/>
    <n v="4"/>
    <n v="0"/>
    <n v="7"/>
    <n v="2"/>
    <n v="2"/>
    <n v="2"/>
    <n v="2"/>
    <n v="2"/>
    <n v="2"/>
    <n v="0"/>
    <x v="3"/>
    <x v="1"/>
    <x v="2"/>
    <x v="2"/>
    <x v="2"/>
  </r>
  <r>
    <x v="24"/>
    <x v="1"/>
    <x v="0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x v="1"/>
    <n v="11"/>
    <n v="3"/>
    <n v="3"/>
    <n v="1"/>
    <n v="32"/>
    <n v="3"/>
    <n v="2"/>
    <n v="7"/>
    <n v="0"/>
    <n v="0"/>
    <n v="6"/>
    <n v="0"/>
    <x v="1"/>
    <x v="3"/>
    <x v="0"/>
    <x v="0"/>
    <x v="2"/>
  </r>
  <r>
    <x v="3"/>
    <x v="0"/>
    <x v="0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x v="0"/>
    <n v="13"/>
    <n v="3"/>
    <n v="3"/>
    <n v="1"/>
    <n v="8"/>
    <n v="2"/>
    <n v="1"/>
    <n v="5"/>
    <n v="4"/>
    <n v="0"/>
    <n v="4"/>
    <n v="1"/>
    <x v="2"/>
    <x v="1"/>
    <x v="2"/>
    <x v="0"/>
    <x v="0"/>
  </r>
  <r>
    <x v="23"/>
    <x v="1"/>
    <x v="0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x v="0"/>
    <n v="22"/>
    <n v="4"/>
    <n v="3"/>
    <n v="1"/>
    <n v="22"/>
    <n v="3"/>
    <n v="3"/>
    <n v="17"/>
    <n v="13"/>
    <n v="1"/>
    <n v="9"/>
    <n v="0"/>
    <x v="0"/>
    <x v="3"/>
    <x v="3"/>
    <x v="0"/>
    <x v="1"/>
  </r>
  <r>
    <x v="3"/>
    <x v="0"/>
    <x v="0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x v="1"/>
    <n v="20"/>
    <n v="4"/>
    <n v="1"/>
    <n v="0"/>
    <n v="13"/>
    <n v="3"/>
    <n v="4"/>
    <n v="9"/>
    <n v="7"/>
    <n v="1"/>
    <n v="7"/>
    <n v="1"/>
    <x v="2"/>
    <x v="1"/>
    <x v="0"/>
    <x v="3"/>
    <x v="3"/>
  </r>
  <r>
    <x v="39"/>
    <x v="1"/>
    <x v="2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x v="0"/>
    <n v="18"/>
    <n v="3"/>
    <n v="4"/>
    <n v="0"/>
    <n v="33"/>
    <n v="2"/>
    <n v="4"/>
    <n v="33"/>
    <n v="7"/>
    <n v="15"/>
    <n v="12"/>
    <n v="0"/>
    <x v="1"/>
    <x v="3"/>
    <x v="3"/>
    <x v="2"/>
    <x v="3"/>
  </r>
  <r>
    <x v="5"/>
    <x v="1"/>
    <x v="0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x v="1"/>
    <n v="11"/>
    <n v="3"/>
    <n v="1"/>
    <n v="1"/>
    <n v="6"/>
    <n v="5"/>
    <n v="3"/>
    <n v="4"/>
    <n v="3"/>
    <n v="1"/>
    <n v="2"/>
    <n v="0"/>
    <x v="2"/>
    <x v="0"/>
    <x v="2"/>
    <x v="1"/>
    <x v="1"/>
  </r>
  <r>
    <x v="5"/>
    <x v="0"/>
    <x v="0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x v="0"/>
    <n v="14"/>
    <n v="3"/>
    <n v="4"/>
    <n v="0"/>
    <n v="4"/>
    <n v="2"/>
    <n v="1"/>
    <n v="3"/>
    <n v="2"/>
    <n v="1"/>
    <n v="2"/>
    <n v="1"/>
    <x v="2"/>
    <x v="0"/>
    <x v="2"/>
    <x v="2"/>
    <x v="0"/>
  </r>
  <r>
    <x v="22"/>
    <x v="1"/>
    <x v="0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x v="1"/>
    <n v="14"/>
    <n v="3"/>
    <n v="3"/>
    <n v="3"/>
    <n v="7"/>
    <n v="1"/>
    <n v="3"/>
    <n v="3"/>
    <n v="2"/>
    <n v="1"/>
    <n v="2"/>
    <n v="0"/>
    <x v="0"/>
    <x v="1"/>
    <x v="2"/>
    <x v="2"/>
    <x v="1"/>
  </r>
  <r>
    <x v="5"/>
    <x v="1"/>
    <x v="2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x v="1"/>
    <n v="18"/>
    <n v="3"/>
    <n v="1"/>
    <n v="0"/>
    <n v="4"/>
    <n v="2"/>
    <n v="3"/>
    <n v="3"/>
    <n v="2"/>
    <n v="2"/>
    <n v="2"/>
    <n v="0"/>
    <x v="2"/>
    <x v="0"/>
    <x v="2"/>
    <x v="0"/>
    <x v="1"/>
  </r>
  <r>
    <x v="0"/>
    <x v="1"/>
    <x v="0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x v="1"/>
    <n v="16"/>
    <n v="3"/>
    <n v="1"/>
    <n v="2"/>
    <n v="17"/>
    <n v="2"/>
    <n v="2"/>
    <n v="1"/>
    <n v="0"/>
    <n v="0"/>
    <n v="0"/>
    <n v="0"/>
    <x v="0"/>
    <x v="0"/>
    <x v="1"/>
    <x v="3"/>
    <x v="2"/>
  </r>
  <r>
    <x v="32"/>
    <x v="1"/>
    <x v="0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x v="1"/>
    <n v="17"/>
    <n v="3"/>
    <n v="1"/>
    <n v="2"/>
    <n v="9"/>
    <n v="3"/>
    <n v="3"/>
    <n v="9"/>
    <n v="8"/>
    <n v="4"/>
    <n v="7"/>
    <n v="0"/>
    <x v="0"/>
    <x v="0"/>
    <x v="0"/>
    <x v="0"/>
    <x v="1"/>
  </r>
  <r>
    <x v="28"/>
    <x v="1"/>
    <x v="0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x v="1"/>
    <n v="11"/>
    <n v="3"/>
    <n v="3"/>
    <n v="1"/>
    <n v="25"/>
    <n v="2"/>
    <n v="3"/>
    <n v="24"/>
    <n v="0"/>
    <n v="1"/>
    <n v="7"/>
    <n v="0"/>
    <x v="0"/>
    <x v="3"/>
    <x v="3"/>
    <x v="0"/>
    <x v="1"/>
  </r>
  <r>
    <x v="12"/>
    <x v="1"/>
    <x v="1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x v="1"/>
    <n v="12"/>
    <n v="3"/>
    <n v="1"/>
    <n v="1"/>
    <n v="9"/>
    <n v="3"/>
    <n v="3"/>
    <n v="2"/>
    <n v="2"/>
    <n v="2"/>
    <n v="2"/>
    <n v="0"/>
    <x v="2"/>
    <x v="3"/>
    <x v="2"/>
    <x v="2"/>
    <x v="1"/>
  </r>
  <r>
    <x v="3"/>
    <x v="1"/>
    <x v="0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x v="1"/>
    <n v="13"/>
    <n v="3"/>
    <n v="3"/>
    <n v="1"/>
    <n v="2"/>
    <n v="2"/>
    <n v="2"/>
    <n v="2"/>
    <n v="2"/>
    <n v="0"/>
    <n v="2"/>
    <n v="0"/>
    <x v="2"/>
    <x v="1"/>
    <x v="2"/>
    <x v="0"/>
    <x v="2"/>
  </r>
  <r>
    <x v="13"/>
    <x v="1"/>
    <x v="0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x v="1"/>
    <n v="13"/>
    <n v="3"/>
    <n v="2"/>
    <n v="1"/>
    <n v="13"/>
    <n v="3"/>
    <n v="3"/>
    <n v="11"/>
    <n v="9"/>
    <n v="5"/>
    <n v="9"/>
    <n v="0"/>
    <x v="2"/>
    <x v="0"/>
    <x v="3"/>
    <x v="3"/>
    <x v="1"/>
  </r>
  <r>
    <x v="2"/>
    <x v="1"/>
    <x v="0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x v="1"/>
    <n v="14"/>
    <n v="3"/>
    <n v="1"/>
    <n v="1"/>
    <n v="17"/>
    <n v="2"/>
    <n v="2"/>
    <n v="3"/>
    <n v="1"/>
    <n v="0"/>
    <n v="2"/>
    <n v="0"/>
    <x v="0"/>
    <x v="0"/>
    <x v="2"/>
    <x v="3"/>
    <x v="2"/>
  </r>
  <r>
    <x v="28"/>
    <x v="1"/>
    <x v="1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x v="1"/>
    <n v="17"/>
    <n v="3"/>
    <n v="4"/>
    <n v="1"/>
    <n v="9"/>
    <n v="1"/>
    <n v="3"/>
    <n v="3"/>
    <n v="2"/>
    <n v="0"/>
    <n v="2"/>
    <n v="0"/>
    <x v="0"/>
    <x v="2"/>
    <x v="2"/>
    <x v="2"/>
    <x v="1"/>
  </r>
  <r>
    <x v="2"/>
    <x v="0"/>
    <x v="1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x v="1"/>
    <n v="11"/>
    <n v="3"/>
    <n v="2"/>
    <n v="2"/>
    <n v="17"/>
    <n v="5"/>
    <n v="3"/>
    <n v="1"/>
    <n v="0"/>
    <n v="0"/>
    <n v="0"/>
    <n v="1"/>
    <x v="0"/>
    <x v="3"/>
    <x v="1"/>
    <x v="2"/>
    <x v="1"/>
  </r>
  <r>
    <x v="22"/>
    <x v="1"/>
    <x v="1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x v="1"/>
    <n v="25"/>
    <n v="4"/>
    <n v="4"/>
    <n v="0"/>
    <n v="20"/>
    <n v="1"/>
    <n v="3"/>
    <n v="19"/>
    <n v="6"/>
    <n v="11"/>
    <n v="8"/>
    <n v="0"/>
    <x v="0"/>
    <x v="3"/>
    <x v="3"/>
    <x v="2"/>
    <x v="1"/>
  </r>
  <r>
    <x v="11"/>
    <x v="1"/>
    <x v="0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x v="1"/>
    <n v="19"/>
    <n v="3"/>
    <n v="1"/>
    <n v="0"/>
    <n v="6"/>
    <n v="1"/>
    <n v="3"/>
    <n v="6"/>
    <n v="5"/>
    <n v="1"/>
    <n v="5"/>
    <n v="0"/>
    <x v="2"/>
    <x v="1"/>
    <x v="0"/>
    <x v="0"/>
    <x v="1"/>
  </r>
  <r>
    <x v="19"/>
    <x v="1"/>
    <x v="0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x v="0"/>
    <n v="13"/>
    <n v="3"/>
    <n v="3"/>
    <n v="0"/>
    <n v="10"/>
    <n v="1"/>
    <n v="3"/>
    <n v="3"/>
    <n v="2"/>
    <n v="0"/>
    <n v="2"/>
    <n v="0"/>
    <x v="0"/>
    <x v="2"/>
    <x v="2"/>
    <x v="3"/>
    <x v="1"/>
  </r>
  <r>
    <x v="11"/>
    <x v="1"/>
    <x v="0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x v="1"/>
    <n v="14"/>
    <n v="3"/>
    <n v="4"/>
    <n v="1"/>
    <n v="10"/>
    <n v="2"/>
    <n v="3"/>
    <n v="3"/>
    <n v="2"/>
    <n v="0"/>
    <n v="2"/>
    <n v="0"/>
    <x v="2"/>
    <x v="2"/>
    <x v="2"/>
    <x v="0"/>
    <x v="1"/>
  </r>
  <r>
    <x v="36"/>
    <x v="1"/>
    <x v="0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x v="1"/>
    <n v="12"/>
    <n v="3"/>
    <n v="4"/>
    <n v="2"/>
    <n v="5"/>
    <n v="3"/>
    <n v="3"/>
    <n v="4"/>
    <n v="2"/>
    <n v="1"/>
    <n v="2"/>
    <n v="0"/>
    <x v="4"/>
    <x v="0"/>
    <x v="2"/>
    <x v="2"/>
    <x v="1"/>
  </r>
  <r>
    <x v="19"/>
    <x v="1"/>
    <x v="0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x v="0"/>
    <n v="11"/>
    <n v="3"/>
    <n v="3"/>
    <n v="1"/>
    <n v="10"/>
    <n v="4"/>
    <n v="3"/>
    <n v="9"/>
    <n v="6"/>
    <n v="7"/>
    <n v="8"/>
    <n v="0"/>
    <x v="0"/>
    <x v="1"/>
    <x v="0"/>
    <x v="3"/>
    <x v="1"/>
  </r>
  <r>
    <x v="32"/>
    <x v="1"/>
    <x v="0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x v="1"/>
    <n v="19"/>
    <n v="3"/>
    <n v="4"/>
    <n v="1"/>
    <n v="22"/>
    <n v="5"/>
    <n v="3"/>
    <n v="21"/>
    <n v="7"/>
    <n v="3"/>
    <n v="9"/>
    <n v="0"/>
    <x v="0"/>
    <x v="3"/>
    <x v="3"/>
    <x v="2"/>
    <x v="1"/>
  </r>
  <r>
    <x v="31"/>
    <x v="1"/>
    <x v="0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x v="1"/>
    <n v="11"/>
    <n v="3"/>
    <n v="2"/>
    <n v="0"/>
    <n v="1"/>
    <n v="0"/>
    <n v="2"/>
    <n v="1"/>
    <n v="0"/>
    <n v="0"/>
    <n v="0"/>
    <n v="0"/>
    <x v="1"/>
    <x v="1"/>
    <x v="1"/>
    <x v="0"/>
    <x v="2"/>
  </r>
  <r>
    <x v="12"/>
    <x v="0"/>
    <x v="1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x v="1"/>
    <n v="11"/>
    <n v="3"/>
    <n v="2"/>
    <n v="0"/>
    <n v="6"/>
    <n v="2"/>
    <n v="4"/>
    <n v="5"/>
    <n v="4"/>
    <n v="1"/>
    <n v="4"/>
    <n v="1"/>
    <x v="2"/>
    <x v="0"/>
    <x v="2"/>
    <x v="1"/>
    <x v="3"/>
  </r>
  <r>
    <x v="5"/>
    <x v="1"/>
    <x v="1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x v="1"/>
    <n v="20"/>
    <n v="4"/>
    <n v="3"/>
    <n v="0"/>
    <n v="5"/>
    <n v="3"/>
    <n v="1"/>
    <n v="5"/>
    <n v="1"/>
    <n v="0"/>
    <n v="3"/>
    <n v="0"/>
    <x v="2"/>
    <x v="1"/>
    <x v="2"/>
    <x v="1"/>
    <x v="0"/>
  </r>
  <r>
    <x v="8"/>
    <x v="1"/>
    <x v="2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x v="1"/>
    <n v="18"/>
    <n v="3"/>
    <n v="4"/>
    <n v="1"/>
    <n v="13"/>
    <n v="0"/>
    <n v="3"/>
    <n v="8"/>
    <n v="7"/>
    <n v="7"/>
    <n v="5"/>
    <n v="0"/>
    <x v="0"/>
    <x v="0"/>
    <x v="0"/>
    <x v="0"/>
    <x v="1"/>
  </r>
  <r>
    <x v="5"/>
    <x v="1"/>
    <x v="0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x v="1"/>
    <n v="13"/>
    <n v="3"/>
    <n v="4"/>
    <n v="0"/>
    <n v="9"/>
    <n v="5"/>
    <n v="3"/>
    <n v="6"/>
    <n v="2"/>
    <n v="0"/>
    <n v="4"/>
    <n v="0"/>
    <x v="2"/>
    <x v="1"/>
    <x v="0"/>
    <x v="3"/>
    <x v="1"/>
  </r>
  <r>
    <x v="21"/>
    <x v="1"/>
    <x v="0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x v="0"/>
    <n v="12"/>
    <n v="3"/>
    <n v="2"/>
    <n v="1"/>
    <n v="28"/>
    <n v="2"/>
    <n v="2"/>
    <n v="7"/>
    <n v="7"/>
    <n v="7"/>
    <n v="7"/>
    <n v="0"/>
    <x v="1"/>
    <x v="3"/>
    <x v="0"/>
    <x v="1"/>
    <x v="2"/>
  </r>
  <r>
    <x v="14"/>
    <x v="0"/>
    <x v="0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x v="1"/>
    <n v="11"/>
    <n v="3"/>
    <n v="3"/>
    <n v="0"/>
    <n v="5"/>
    <n v="5"/>
    <n v="1"/>
    <n v="0"/>
    <n v="0"/>
    <n v="0"/>
    <n v="0"/>
    <n v="1"/>
    <x v="2"/>
    <x v="0"/>
    <x v="1"/>
    <x v="2"/>
    <x v="0"/>
  </r>
  <r>
    <x v="11"/>
    <x v="1"/>
    <x v="0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x v="1"/>
    <n v="19"/>
    <n v="3"/>
    <n v="2"/>
    <n v="2"/>
    <n v="10"/>
    <n v="2"/>
    <n v="3"/>
    <n v="0"/>
    <n v="0"/>
    <n v="0"/>
    <n v="0"/>
    <n v="0"/>
    <x v="2"/>
    <x v="2"/>
    <x v="1"/>
    <x v="1"/>
    <x v="1"/>
  </r>
  <r>
    <x v="12"/>
    <x v="1"/>
    <x v="0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x v="1"/>
    <n v="21"/>
    <n v="4"/>
    <n v="2"/>
    <n v="1"/>
    <n v="10"/>
    <n v="2"/>
    <n v="3"/>
    <n v="9"/>
    <n v="0"/>
    <n v="7"/>
    <n v="8"/>
    <n v="0"/>
    <x v="2"/>
    <x v="0"/>
    <x v="0"/>
    <x v="0"/>
    <x v="1"/>
  </r>
  <r>
    <x v="36"/>
    <x v="1"/>
    <x v="2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x v="1"/>
    <n v="12"/>
    <n v="3"/>
    <n v="4"/>
    <n v="2"/>
    <n v="6"/>
    <n v="2"/>
    <n v="3"/>
    <n v="6"/>
    <n v="3"/>
    <n v="1"/>
    <n v="5"/>
    <n v="0"/>
    <x v="4"/>
    <x v="0"/>
    <x v="0"/>
    <x v="3"/>
    <x v="1"/>
  </r>
  <r>
    <x v="28"/>
    <x v="1"/>
    <x v="0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x v="0"/>
    <n v="14"/>
    <n v="3"/>
    <n v="2"/>
    <n v="0"/>
    <n v="21"/>
    <n v="2"/>
    <n v="3"/>
    <n v="20"/>
    <n v="7"/>
    <n v="4"/>
    <n v="10"/>
    <n v="0"/>
    <x v="0"/>
    <x v="3"/>
    <x v="3"/>
    <x v="0"/>
    <x v="1"/>
  </r>
  <r>
    <x v="9"/>
    <x v="1"/>
    <x v="0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  <n v="0"/>
    <x v="0"/>
    <x v="0"/>
    <x v="3"/>
    <x v="0"/>
    <x v="1"/>
  </r>
  <r>
    <x v="27"/>
    <x v="1"/>
    <x v="0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x v="0"/>
    <n v="14"/>
    <n v="3"/>
    <n v="3"/>
    <n v="0"/>
    <n v="37"/>
    <n v="2"/>
    <n v="3"/>
    <n v="36"/>
    <n v="10"/>
    <n v="4"/>
    <n v="13"/>
    <n v="0"/>
    <x v="1"/>
    <x v="3"/>
    <x v="3"/>
    <x v="3"/>
    <x v="1"/>
  </r>
  <r>
    <x v="40"/>
    <x v="0"/>
    <x v="2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x v="0"/>
    <n v="12"/>
    <n v="3"/>
    <n v="4"/>
    <n v="1"/>
    <n v="10"/>
    <n v="2"/>
    <n v="2"/>
    <n v="10"/>
    <n v="7"/>
    <n v="9"/>
    <n v="9"/>
    <n v="1"/>
    <x v="1"/>
    <x v="3"/>
    <x v="0"/>
    <x v="1"/>
    <x v="2"/>
  </r>
  <r>
    <x v="14"/>
    <x v="1"/>
    <x v="0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x v="1"/>
    <n v="23"/>
    <n v="4"/>
    <n v="4"/>
    <n v="1"/>
    <n v="5"/>
    <n v="3"/>
    <n v="2"/>
    <n v="5"/>
    <n v="2"/>
    <n v="0"/>
    <n v="4"/>
    <n v="0"/>
    <x v="2"/>
    <x v="1"/>
    <x v="2"/>
    <x v="0"/>
    <x v="2"/>
  </r>
  <r>
    <x v="2"/>
    <x v="1"/>
    <x v="0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x v="1"/>
    <n v="14"/>
    <n v="3"/>
    <n v="2"/>
    <n v="1"/>
    <n v="7"/>
    <n v="5"/>
    <n v="4"/>
    <n v="5"/>
    <n v="4"/>
    <n v="0"/>
    <n v="1"/>
    <n v="0"/>
    <x v="0"/>
    <x v="2"/>
    <x v="2"/>
    <x v="0"/>
    <x v="3"/>
  </r>
  <r>
    <x v="18"/>
    <x v="1"/>
    <x v="0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x v="1"/>
    <n v="17"/>
    <n v="3"/>
    <n v="1"/>
    <n v="0"/>
    <n v="3"/>
    <n v="4"/>
    <n v="4"/>
    <n v="3"/>
    <n v="2"/>
    <n v="1"/>
    <n v="0"/>
    <n v="0"/>
    <x v="4"/>
    <x v="0"/>
    <x v="2"/>
    <x v="2"/>
    <x v="3"/>
  </r>
  <r>
    <x v="2"/>
    <x v="1"/>
    <x v="2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x v="0"/>
    <n v="18"/>
    <n v="3"/>
    <n v="1"/>
    <n v="2"/>
    <n v="15"/>
    <n v="2"/>
    <n v="3"/>
    <n v="5"/>
    <n v="2"/>
    <n v="0"/>
    <n v="2"/>
    <n v="0"/>
    <x v="0"/>
    <x v="3"/>
    <x v="2"/>
    <x v="0"/>
    <x v="1"/>
  </r>
  <r>
    <x v="10"/>
    <x v="1"/>
    <x v="0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x v="1"/>
    <n v="18"/>
    <n v="3"/>
    <n v="2"/>
    <n v="1"/>
    <n v="10"/>
    <n v="6"/>
    <n v="2"/>
    <n v="7"/>
    <n v="7"/>
    <n v="6"/>
    <n v="2"/>
    <n v="0"/>
    <x v="2"/>
    <x v="3"/>
    <x v="0"/>
    <x v="1"/>
    <x v="2"/>
  </r>
  <r>
    <x v="8"/>
    <x v="1"/>
    <x v="0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x v="0"/>
    <n v="24"/>
    <n v="4"/>
    <n v="3"/>
    <n v="1"/>
    <n v="8"/>
    <n v="3"/>
    <n v="3"/>
    <n v="8"/>
    <n v="0"/>
    <n v="7"/>
    <n v="7"/>
    <n v="0"/>
    <x v="0"/>
    <x v="0"/>
    <x v="0"/>
    <x v="3"/>
    <x v="1"/>
  </r>
  <r>
    <x v="25"/>
    <x v="1"/>
    <x v="1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x v="1"/>
    <n v="20"/>
    <n v="4"/>
    <n v="1"/>
    <n v="1"/>
    <n v="6"/>
    <n v="6"/>
    <n v="1"/>
    <n v="6"/>
    <n v="5"/>
    <n v="1"/>
    <n v="4"/>
    <n v="0"/>
    <x v="2"/>
    <x v="2"/>
    <x v="0"/>
    <x v="1"/>
    <x v="0"/>
  </r>
  <r>
    <x v="24"/>
    <x v="1"/>
    <x v="0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x v="1"/>
    <n v="14"/>
    <n v="3"/>
    <n v="1"/>
    <n v="2"/>
    <n v="28"/>
    <n v="4"/>
    <n v="2"/>
    <n v="10"/>
    <n v="4"/>
    <n v="1"/>
    <n v="6"/>
    <n v="0"/>
    <x v="1"/>
    <x v="3"/>
    <x v="0"/>
    <x v="1"/>
    <x v="2"/>
  </r>
  <r>
    <x v="16"/>
    <x v="1"/>
    <x v="0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x v="0"/>
    <n v="16"/>
    <n v="3"/>
    <n v="4"/>
    <n v="3"/>
    <n v="21"/>
    <n v="5"/>
    <n v="2"/>
    <n v="5"/>
    <n v="3"/>
    <n v="1"/>
    <n v="3"/>
    <n v="0"/>
    <x v="1"/>
    <x v="3"/>
    <x v="2"/>
    <x v="2"/>
    <x v="2"/>
  </r>
  <r>
    <x v="19"/>
    <x v="1"/>
    <x v="0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x v="1"/>
    <n v="25"/>
    <n v="4"/>
    <n v="3"/>
    <n v="0"/>
    <n v="20"/>
    <n v="3"/>
    <n v="3"/>
    <n v="20"/>
    <n v="16"/>
    <n v="11"/>
    <n v="6"/>
    <n v="0"/>
    <x v="0"/>
    <x v="0"/>
    <x v="3"/>
    <x v="2"/>
    <x v="1"/>
  </r>
  <r>
    <x v="11"/>
    <x v="1"/>
    <x v="1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x v="1"/>
    <n v="18"/>
    <n v="3"/>
    <n v="1"/>
    <n v="0"/>
    <n v="10"/>
    <n v="3"/>
    <n v="2"/>
    <n v="10"/>
    <n v="7"/>
    <n v="0"/>
    <n v="9"/>
    <n v="0"/>
    <x v="2"/>
    <x v="0"/>
    <x v="0"/>
    <x v="0"/>
    <x v="2"/>
  </r>
  <r>
    <x v="27"/>
    <x v="1"/>
    <x v="0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x v="0"/>
    <n v="19"/>
    <n v="3"/>
    <n v="4"/>
    <n v="1"/>
    <n v="12"/>
    <n v="4"/>
    <n v="3"/>
    <n v="10"/>
    <n v="7"/>
    <n v="0"/>
    <n v="8"/>
    <n v="0"/>
    <x v="1"/>
    <x v="0"/>
    <x v="0"/>
    <x v="0"/>
    <x v="1"/>
  </r>
  <r>
    <x v="25"/>
    <x v="1"/>
    <x v="1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x v="0"/>
    <n v="13"/>
    <n v="3"/>
    <n v="3"/>
    <n v="1"/>
    <n v="5"/>
    <n v="3"/>
    <n v="3"/>
    <n v="5"/>
    <n v="3"/>
    <n v="3"/>
    <n v="3"/>
    <n v="0"/>
    <x v="2"/>
    <x v="0"/>
    <x v="2"/>
    <x v="3"/>
    <x v="1"/>
  </r>
  <r>
    <x v="2"/>
    <x v="1"/>
    <x v="0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x v="1"/>
    <n v="12"/>
    <n v="3"/>
    <n v="2"/>
    <n v="0"/>
    <n v="17"/>
    <n v="3"/>
    <n v="3"/>
    <n v="17"/>
    <n v="12"/>
    <n v="5"/>
    <n v="7"/>
    <n v="0"/>
    <x v="0"/>
    <x v="1"/>
    <x v="3"/>
    <x v="0"/>
    <x v="1"/>
  </r>
  <r>
    <x v="20"/>
    <x v="0"/>
    <x v="1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x v="0"/>
    <n v="22"/>
    <n v="4"/>
    <n v="4"/>
    <n v="1"/>
    <n v="19"/>
    <n v="0"/>
    <n v="1"/>
    <n v="1"/>
    <n v="0"/>
    <n v="0"/>
    <n v="0"/>
    <n v="1"/>
    <x v="0"/>
    <x v="0"/>
    <x v="1"/>
    <x v="2"/>
    <x v="0"/>
  </r>
  <r>
    <x v="8"/>
    <x v="1"/>
    <x v="0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x v="1"/>
    <n v="14"/>
    <n v="3"/>
    <n v="2"/>
    <n v="1"/>
    <n v="10"/>
    <n v="2"/>
    <n v="3"/>
    <n v="2"/>
    <n v="2"/>
    <n v="1"/>
    <n v="2"/>
    <n v="0"/>
    <x v="0"/>
    <x v="0"/>
    <x v="2"/>
    <x v="0"/>
    <x v="1"/>
  </r>
  <r>
    <x v="25"/>
    <x v="0"/>
    <x v="0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x v="0"/>
    <n v="13"/>
    <n v="3"/>
    <n v="4"/>
    <n v="1"/>
    <n v="5"/>
    <n v="2"/>
    <n v="3"/>
    <n v="3"/>
    <n v="2"/>
    <n v="0"/>
    <n v="2"/>
    <n v="1"/>
    <x v="2"/>
    <x v="1"/>
    <x v="2"/>
    <x v="1"/>
    <x v="1"/>
  </r>
  <r>
    <x v="14"/>
    <x v="1"/>
    <x v="0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x v="1"/>
    <n v="21"/>
    <n v="4"/>
    <n v="4"/>
    <n v="0"/>
    <n v="5"/>
    <n v="3"/>
    <n v="3"/>
    <n v="5"/>
    <n v="3"/>
    <n v="0"/>
    <n v="2"/>
    <n v="0"/>
    <x v="2"/>
    <x v="0"/>
    <x v="2"/>
    <x v="0"/>
    <x v="1"/>
  </r>
  <r>
    <x v="1"/>
    <x v="1"/>
    <x v="1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x v="0"/>
    <n v="11"/>
    <n v="3"/>
    <n v="4"/>
    <n v="0"/>
    <n v="22"/>
    <n v="4"/>
    <n v="3"/>
    <n v="3"/>
    <n v="2"/>
    <n v="1"/>
    <n v="2"/>
    <n v="0"/>
    <x v="1"/>
    <x v="3"/>
    <x v="2"/>
    <x v="3"/>
    <x v="1"/>
  </r>
  <r>
    <x v="9"/>
    <x v="1"/>
    <x v="0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x v="1"/>
    <n v="12"/>
    <n v="3"/>
    <n v="4"/>
    <n v="0"/>
    <n v="10"/>
    <n v="2"/>
    <n v="3"/>
    <n v="8"/>
    <n v="0"/>
    <n v="7"/>
    <n v="7"/>
    <n v="0"/>
    <x v="0"/>
    <x v="0"/>
    <x v="0"/>
    <x v="1"/>
    <x v="1"/>
  </r>
  <r>
    <x v="12"/>
    <x v="1"/>
    <x v="1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x v="1"/>
    <n v="11"/>
    <n v="3"/>
    <n v="3"/>
    <n v="1"/>
    <n v="2"/>
    <n v="5"/>
    <n v="2"/>
    <n v="2"/>
    <n v="2"/>
    <n v="2"/>
    <n v="2"/>
    <n v="0"/>
    <x v="2"/>
    <x v="1"/>
    <x v="2"/>
    <x v="1"/>
    <x v="2"/>
  </r>
  <r>
    <x v="25"/>
    <x v="0"/>
    <x v="0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x v="0"/>
    <n v="12"/>
    <n v="3"/>
    <n v="2"/>
    <n v="0"/>
    <n v="8"/>
    <n v="0"/>
    <n v="3"/>
    <n v="8"/>
    <n v="7"/>
    <n v="7"/>
    <n v="4"/>
    <n v="1"/>
    <x v="2"/>
    <x v="0"/>
    <x v="0"/>
    <x v="0"/>
    <x v="1"/>
  </r>
  <r>
    <x v="2"/>
    <x v="1"/>
    <x v="1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x v="0"/>
    <n v="12"/>
    <n v="3"/>
    <n v="3"/>
    <n v="3"/>
    <n v="4"/>
    <n v="3"/>
    <n v="2"/>
    <n v="4"/>
    <n v="2"/>
    <n v="1"/>
    <n v="2"/>
    <n v="0"/>
    <x v="0"/>
    <x v="1"/>
    <x v="2"/>
    <x v="0"/>
    <x v="2"/>
  </r>
  <r>
    <x v="19"/>
    <x v="1"/>
    <x v="1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x v="1"/>
    <n v="14"/>
    <n v="3"/>
    <n v="4"/>
    <n v="1"/>
    <n v="23"/>
    <n v="2"/>
    <n v="4"/>
    <n v="20"/>
    <n v="4"/>
    <n v="4"/>
    <n v="8"/>
    <n v="0"/>
    <x v="0"/>
    <x v="3"/>
    <x v="3"/>
    <x v="1"/>
    <x v="3"/>
  </r>
  <r>
    <x v="41"/>
    <x v="0"/>
    <x v="0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x v="1"/>
    <n v="13"/>
    <n v="3"/>
    <n v="3"/>
    <n v="0"/>
    <n v="0"/>
    <n v="2"/>
    <n v="3"/>
    <n v="0"/>
    <n v="0"/>
    <n v="0"/>
    <n v="0"/>
    <n v="1"/>
    <x v="4"/>
    <x v="1"/>
    <x v="1"/>
    <x v="2"/>
    <x v="1"/>
  </r>
  <r>
    <x v="10"/>
    <x v="1"/>
    <x v="0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x v="1"/>
    <n v="15"/>
    <n v="3"/>
    <n v="3"/>
    <n v="2"/>
    <n v="12"/>
    <n v="3"/>
    <n v="2"/>
    <n v="11"/>
    <n v="9"/>
    <n v="6"/>
    <n v="9"/>
    <n v="0"/>
    <x v="2"/>
    <x v="2"/>
    <x v="3"/>
    <x v="1"/>
    <x v="2"/>
  </r>
  <r>
    <x v="9"/>
    <x v="1"/>
    <x v="1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x v="1"/>
    <n v="18"/>
    <n v="3"/>
    <n v="4"/>
    <n v="2"/>
    <n v="4"/>
    <n v="2"/>
    <n v="3"/>
    <n v="1"/>
    <n v="0"/>
    <n v="0"/>
    <n v="0"/>
    <n v="0"/>
    <x v="0"/>
    <x v="0"/>
    <x v="1"/>
    <x v="0"/>
    <x v="1"/>
  </r>
  <r>
    <x v="31"/>
    <x v="1"/>
    <x v="0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x v="1"/>
    <n v="18"/>
    <n v="3"/>
    <n v="4"/>
    <n v="1"/>
    <n v="13"/>
    <n v="3"/>
    <n v="3"/>
    <n v="4"/>
    <n v="1"/>
    <n v="1"/>
    <n v="2"/>
    <n v="0"/>
    <x v="1"/>
    <x v="0"/>
    <x v="2"/>
    <x v="1"/>
    <x v="1"/>
  </r>
  <r>
    <x v="0"/>
    <x v="1"/>
    <x v="0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x v="1"/>
    <n v="19"/>
    <n v="3"/>
    <n v="2"/>
    <n v="0"/>
    <n v="22"/>
    <n v="2"/>
    <n v="3"/>
    <n v="22"/>
    <n v="10"/>
    <n v="0"/>
    <n v="4"/>
    <n v="0"/>
    <x v="0"/>
    <x v="3"/>
    <x v="3"/>
    <x v="1"/>
    <x v="1"/>
  </r>
  <r>
    <x v="41"/>
    <x v="1"/>
    <x v="0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x v="1"/>
    <n v="12"/>
    <n v="3"/>
    <n v="1"/>
    <n v="0"/>
    <n v="0"/>
    <n v="2"/>
    <n v="3"/>
    <n v="0"/>
    <n v="0"/>
    <n v="0"/>
    <n v="0"/>
    <n v="0"/>
    <x v="4"/>
    <x v="1"/>
    <x v="1"/>
    <x v="2"/>
    <x v="1"/>
  </r>
  <r>
    <x v="14"/>
    <x v="1"/>
    <x v="0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x v="1"/>
    <n v="19"/>
    <n v="3"/>
    <n v="3"/>
    <n v="0"/>
    <n v="9"/>
    <n v="2"/>
    <n v="3"/>
    <n v="8"/>
    <n v="3"/>
    <n v="0"/>
    <n v="7"/>
    <n v="0"/>
    <x v="2"/>
    <x v="0"/>
    <x v="0"/>
    <x v="3"/>
    <x v="1"/>
  </r>
  <r>
    <x v="12"/>
    <x v="1"/>
    <x v="0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x v="1"/>
    <n v="11"/>
    <n v="3"/>
    <n v="2"/>
    <n v="1"/>
    <n v="10"/>
    <n v="3"/>
    <n v="2"/>
    <n v="8"/>
    <n v="7"/>
    <n v="7"/>
    <n v="7"/>
    <n v="0"/>
    <x v="2"/>
    <x v="2"/>
    <x v="0"/>
    <x v="0"/>
    <x v="2"/>
  </r>
  <r>
    <x v="22"/>
    <x v="1"/>
    <x v="0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x v="1"/>
    <n v="17"/>
    <n v="3"/>
    <n v="1"/>
    <n v="3"/>
    <n v="19"/>
    <n v="5"/>
    <n v="2"/>
    <n v="18"/>
    <n v="10"/>
    <n v="3"/>
    <n v="7"/>
    <n v="0"/>
    <x v="0"/>
    <x v="2"/>
    <x v="3"/>
    <x v="0"/>
    <x v="2"/>
  </r>
  <r>
    <x v="9"/>
    <x v="1"/>
    <x v="2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x v="1"/>
    <n v="15"/>
    <n v="3"/>
    <n v="3"/>
    <n v="1"/>
    <n v="11"/>
    <n v="3"/>
    <n v="3"/>
    <n v="9"/>
    <n v="8"/>
    <n v="0"/>
    <n v="8"/>
    <n v="0"/>
    <x v="0"/>
    <x v="0"/>
    <x v="0"/>
    <x v="1"/>
    <x v="1"/>
  </r>
  <r>
    <x v="5"/>
    <x v="1"/>
    <x v="0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x v="1"/>
    <n v="14"/>
    <n v="3"/>
    <n v="3"/>
    <n v="1"/>
    <n v="13"/>
    <n v="3"/>
    <n v="2"/>
    <n v="13"/>
    <n v="8"/>
    <n v="4"/>
    <n v="8"/>
    <n v="0"/>
    <x v="2"/>
    <x v="0"/>
    <x v="3"/>
    <x v="2"/>
    <x v="2"/>
  </r>
  <r>
    <x v="8"/>
    <x v="1"/>
    <x v="0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x v="1"/>
    <n v="17"/>
    <n v="3"/>
    <n v="3"/>
    <n v="1"/>
    <n v="19"/>
    <n v="2"/>
    <n v="3"/>
    <n v="10"/>
    <n v="8"/>
    <n v="0"/>
    <n v="1"/>
    <n v="0"/>
    <x v="0"/>
    <x v="3"/>
    <x v="0"/>
    <x v="1"/>
    <x v="1"/>
  </r>
  <r>
    <x v="34"/>
    <x v="1"/>
    <x v="2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x v="0"/>
    <n v="13"/>
    <n v="3"/>
    <n v="4"/>
    <n v="1"/>
    <n v="12"/>
    <n v="2"/>
    <n v="3"/>
    <n v="5"/>
    <n v="3"/>
    <n v="1"/>
    <n v="2"/>
    <n v="0"/>
    <x v="3"/>
    <x v="0"/>
    <x v="2"/>
    <x v="2"/>
    <x v="1"/>
  </r>
  <r>
    <x v="12"/>
    <x v="1"/>
    <x v="0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x v="0"/>
    <n v="12"/>
    <n v="3"/>
    <n v="3"/>
    <n v="1"/>
    <n v="6"/>
    <n v="4"/>
    <n v="3"/>
    <n v="5"/>
    <n v="2"/>
    <n v="0"/>
    <n v="3"/>
    <n v="0"/>
    <x v="2"/>
    <x v="0"/>
    <x v="2"/>
    <x v="0"/>
    <x v="1"/>
  </r>
  <r>
    <x v="12"/>
    <x v="1"/>
    <x v="0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x v="1"/>
    <n v="12"/>
    <n v="3"/>
    <n v="4"/>
    <n v="0"/>
    <n v="9"/>
    <n v="1"/>
    <n v="3"/>
    <n v="2"/>
    <n v="2"/>
    <n v="1"/>
    <n v="0"/>
    <n v="0"/>
    <x v="2"/>
    <x v="2"/>
    <x v="2"/>
    <x v="3"/>
    <x v="1"/>
  </r>
  <r>
    <x v="28"/>
    <x v="1"/>
    <x v="1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x v="1"/>
    <n v="18"/>
    <n v="3"/>
    <n v="1"/>
    <n v="1"/>
    <n v="24"/>
    <n v="2"/>
    <n v="3"/>
    <n v="24"/>
    <n v="9"/>
    <n v="9"/>
    <n v="11"/>
    <n v="0"/>
    <x v="0"/>
    <x v="0"/>
    <x v="3"/>
    <x v="3"/>
    <x v="1"/>
  </r>
  <r>
    <x v="12"/>
    <x v="1"/>
    <x v="0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x v="0"/>
    <n v="18"/>
    <n v="3"/>
    <n v="2"/>
    <n v="1"/>
    <n v="3"/>
    <n v="2"/>
    <n v="1"/>
    <n v="2"/>
    <n v="2"/>
    <n v="2"/>
    <n v="2"/>
    <n v="0"/>
    <x v="2"/>
    <x v="1"/>
    <x v="2"/>
    <x v="0"/>
    <x v="0"/>
  </r>
  <r>
    <x v="3"/>
    <x v="1"/>
    <x v="1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x v="1"/>
    <n v="11"/>
    <n v="3"/>
    <n v="2"/>
    <n v="2"/>
    <n v="12"/>
    <n v="2"/>
    <n v="3"/>
    <n v="10"/>
    <n v="6"/>
    <n v="8"/>
    <n v="8"/>
    <n v="0"/>
    <x v="2"/>
    <x v="3"/>
    <x v="0"/>
    <x v="1"/>
    <x v="1"/>
  </r>
  <r>
    <x v="22"/>
    <x v="1"/>
    <x v="0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x v="0"/>
    <n v="14"/>
    <n v="3"/>
    <n v="4"/>
    <n v="0"/>
    <n v="21"/>
    <n v="3"/>
    <n v="3"/>
    <n v="21"/>
    <n v="9"/>
    <n v="11"/>
    <n v="10"/>
    <n v="0"/>
    <x v="0"/>
    <x v="3"/>
    <x v="3"/>
    <x v="3"/>
    <x v="1"/>
  </r>
  <r>
    <x v="23"/>
    <x v="1"/>
    <x v="1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x v="1"/>
    <n v="19"/>
    <n v="3"/>
    <n v="1"/>
    <n v="0"/>
    <n v="9"/>
    <n v="5"/>
    <n v="3"/>
    <n v="8"/>
    <n v="7"/>
    <n v="1"/>
    <n v="7"/>
    <n v="0"/>
    <x v="0"/>
    <x v="1"/>
    <x v="0"/>
    <x v="0"/>
    <x v="1"/>
  </r>
  <r>
    <x v="1"/>
    <x v="1"/>
    <x v="0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x v="0"/>
    <n v="12"/>
    <n v="3"/>
    <n v="4"/>
    <n v="0"/>
    <n v="25"/>
    <n v="2"/>
    <n v="3"/>
    <n v="7"/>
    <n v="1"/>
    <n v="0"/>
    <n v="7"/>
    <n v="0"/>
    <x v="1"/>
    <x v="3"/>
    <x v="0"/>
    <x v="2"/>
    <x v="1"/>
  </r>
  <r>
    <x v="39"/>
    <x v="0"/>
    <x v="0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x v="1"/>
    <n v="15"/>
    <n v="3"/>
    <n v="1"/>
    <n v="0"/>
    <n v="11"/>
    <n v="3"/>
    <n v="2"/>
    <n v="8"/>
    <n v="2"/>
    <n v="7"/>
    <n v="7"/>
    <n v="1"/>
    <x v="1"/>
    <x v="0"/>
    <x v="0"/>
    <x v="1"/>
    <x v="2"/>
  </r>
  <r>
    <x v="4"/>
    <x v="1"/>
    <x v="0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x v="0"/>
    <n v="12"/>
    <n v="3"/>
    <n v="2"/>
    <n v="0"/>
    <n v="4"/>
    <n v="2"/>
    <n v="2"/>
    <n v="4"/>
    <n v="3"/>
    <n v="1"/>
    <n v="2"/>
    <n v="0"/>
    <x v="2"/>
    <x v="1"/>
    <x v="2"/>
    <x v="1"/>
    <x v="2"/>
  </r>
  <r>
    <x v="5"/>
    <x v="1"/>
    <x v="0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x v="0"/>
    <n v="11"/>
    <n v="3"/>
    <n v="4"/>
    <n v="0"/>
    <n v="13"/>
    <n v="2"/>
    <n v="3"/>
    <n v="13"/>
    <n v="12"/>
    <n v="11"/>
    <n v="9"/>
    <n v="0"/>
    <x v="2"/>
    <x v="0"/>
    <x v="3"/>
    <x v="1"/>
    <x v="1"/>
  </r>
  <r>
    <x v="4"/>
    <x v="1"/>
    <x v="0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x v="0"/>
    <n v="11"/>
    <n v="3"/>
    <n v="1"/>
    <n v="0"/>
    <n v="5"/>
    <n v="3"/>
    <n v="3"/>
    <n v="5"/>
    <n v="4"/>
    <n v="0"/>
    <n v="4"/>
    <n v="0"/>
    <x v="2"/>
    <x v="0"/>
    <x v="2"/>
    <x v="2"/>
    <x v="1"/>
  </r>
  <r>
    <x v="12"/>
    <x v="1"/>
    <x v="0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x v="1"/>
    <n v="12"/>
    <n v="3"/>
    <n v="4"/>
    <n v="3"/>
    <n v="13"/>
    <n v="3"/>
    <n v="3"/>
    <n v="7"/>
    <n v="7"/>
    <n v="1"/>
    <n v="7"/>
    <n v="0"/>
    <x v="2"/>
    <x v="2"/>
    <x v="0"/>
    <x v="0"/>
    <x v="1"/>
  </r>
  <r>
    <x v="5"/>
    <x v="1"/>
    <x v="0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x v="1"/>
    <n v="16"/>
    <n v="3"/>
    <n v="3"/>
    <n v="0"/>
    <n v="10"/>
    <n v="0"/>
    <n v="2"/>
    <n v="7"/>
    <n v="7"/>
    <n v="0"/>
    <n v="7"/>
    <n v="0"/>
    <x v="2"/>
    <x v="0"/>
    <x v="0"/>
    <x v="0"/>
    <x v="2"/>
  </r>
  <r>
    <x v="14"/>
    <x v="0"/>
    <x v="0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x v="0"/>
    <n v="13"/>
    <n v="3"/>
    <n v="4"/>
    <n v="0"/>
    <n v="5"/>
    <n v="4"/>
    <n v="2"/>
    <n v="3"/>
    <n v="2"/>
    <n v="2"/>
    <n v="2"/>
    <n v="1"/>
    <x v="2"/>
    <x v="0"/>
    <x v="2"/>
    <x v="0"/>
    <x v="2"/>
  </r>
  <r>
    <x v="7"/>
    <x v="1"/>
    <x v="0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x v="1"/>
    <n v="13"/>
    <n v="3"/>
    <n v="4"/>
    <n v="2"/>
    <n v="11"/>
    <n v="2"/>
    <n v="3"/>
    <n v="10"/>
    <n v="8"/>
    <n v="1"/>
    <n v="9"/>
    <n v="0"/>
    <x v="2"/>
    <x v="0"/>
    <x v="0"/>
    <x v="0"/>
    <x v="1"/>
  </r>
  <r>
    <x v="12"/>
    <x v="1"/>
    <x v="1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x v="1"/>
    <n v="24"/>
    <n v="4"/>
    <n v="1"/>
    <n v="1"/>
    <n v="10"/>
    <n v="2"/>
    <n v="3"/>
    <n v="10"/>
    <n v="9"/>
    <n v="8"/>
    <n v="9"/>
    <n v="0"/>
    <x v="2"/>
    <x v="2"/>
    <x v="0"/>
    <x v="2"/>
    <x v="1"/>
  </r>
  <r>
    <x v="22"/>
    <x v="1"/>
    <x v="1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x v="1"/>
    <n v="15"/>
    <n v="3"/>
    <n v="1"/>
    <n v="1"/>
    <n v="21"/>
    <n v="2"/>
    <n v="3"/>
    <n v="21"/>
    <n v="9"/>
    <n v="13"/>
    <n v="3"/>
    <n v="0"/>
    <x v="0"/>
    <x v="3"/>
    <x v="3"/>
    <x v="0"/>
    <x v="1"/>
  </r>
  <r>
    <x v="22"/>
    <x v="0"/>
    <x v="0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x v="0"/>
    <n v="18"/>
    <n v="3"/>
    <n v="1"/>
    <n v="0"/>
    <n v="12"/>
    <n v="3"/>
    <n v="2"/>
    <n v="1"/>
    <n v="0"/>
    <n v="0"/>
    <n v="0"/>
    <n v="1"/>
    <x v="0"/>
    <x v="0"/>
    <x v="1"/>
    <x v="2"/>
    <x v="2"/>
  </r>
  <r>
    <x v="3"/>
    <x v="1"/>
    <x v="1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x v="1"/>
    <n v="14"/>
    <n v="3"/>
    <n v="3"/>
    <n v="0"/>
    <n v="9"/>
    <n v="6"/>
    <n v="2"/>
    <n v="7"/>
    <n v="7"/>
    <n v="0"/>
    <n v="1"/>
    <n v="0"/>
    <x v="2"/>
    <x v="0"/>
    <x v="0"/>
    <x v="0"/>
    <x v="2"/>
  </r>
  <r>
    <x v="40"/>
    <x v="1"/>
    <x v="0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x v="1"/>
    <n v="11"/>
    <n v="3"/>
    <n v="2"/>
    <n v="1"/>
    <n v="21"/>
    <n v="2"/>
    <n v="3"/>
    <n v="3"/>
    <n v="2"/>
    <n v="1"/>
    <n v="1"/>
    <n v="0"/>
    <x v="1"/>
    <x v="3"/>
    <x v="2"/>
    <x v="2"/>
    <x v="1"/>
  </r>
  <r>
    <x v="23"/>
    <x v="1"/>
    <x v="1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x v="1"/>
    <n v="11"/>
    <n v="3"/>
    <n v="2"/>
    <n v="1"/>
    <n v="9"/>
    <n v="3"/>
    <n v="4"/>
    <n v="9"/>
    <n v="7"/>
    <n v="0"/>
    <n v="0"/>
    <n v="0"/>
    <x v="0"/>
    <x v="0"/>
    <x v="0"/>
    <x v="2"/>
    <x v="3"/>
  </r>
  <r>
    <x v="4"/>
    <x v="1"/>
    <x v="2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x v="0"/>
    <n v="13"/>
    <n v="3"/>
    <n v="4"/>
    <n v="1"/>
    <n v="6"/>
    <n v="0"/>
    <n v="3"/>
    <n v="5"/>
    <n v="4"/>
    <n v="1"/>
    <n v="4"/>
    <n v="0"/>
    <x v="2"/>
    <x v="2"/>
    <x v="2"/>
    <x v="1"/>
    <x v="1"/>
  </r>
  <r>
    <x v="33"/>
    <x v="1"/>
    <x v="1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x v="1"/>
    <n v="12"/>
    <n v="3"/>
    <n v="4"/>
    <n v="0"/>
    <n v="20"/>
    <n v="4"/>
    <n v="2"/>
    <n v="4"/>
    <n v="3"/>
    <n v="0"/>
    <n v="3"/>
    <n v="0"/>
    <x v="1"/>
    <x v="0"/>
    <x v="2"/>
    <x v="2"/>
    <x v="2"/>
  </r>
  <r>
    <x v="23"/>
    <x v="1"/>
    <x v="0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x v="1"/>
    <n v="16"/>
    <n v="3"/>
    <n v="1"/>
    <n v="1"/>
    <n v="10"/>
    <n v="1"/>
    <n v="2"/>
    <n v="1"/>
    <n v="0"/>
    <n v="0"/>
    <n v="0"/>
    <n v="0"/>
    <x v="0"/>
    <x v="2"/>
    <x v="1"/>
    <x v="3"/>
    <x v="2"/>
  </r>
  <r>
    <x v="28"/>
    <x v="1"/>
    <x v="0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x v="1"/>
    <n v="14"/>
    <n v="3"/>
    <n v="1"/>
    <n v="2"/>
    <n v="12"/>
    <n v="3"/>
    <n v="3"/>
    <n v="10"/>
    <n v="9"/>
    <n v="9"/>
    <n v="8"/>
    <n v="0"/>
    <x v="0"/>
    <x v="0"/>
    <x v="0"/>
    <x v="0"/>
    <x v="1"/>
  </r>
  <r>
    <x v="32"/>
    <x v="1"/>
    <x v="0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x v="0"/>
    <n v="22"/>
    <n v="4"/>
    <n v="3"/>
    <n v="3"/>
    <n v="6"/>
    <n v="2"/>
    <n v="2"/>
    <n v="4"/>
    <n v="3"/>
    <n v="0"/>
    <n v="2"/>
    <n v="0"/>
    <x v="0"/>
    <x v="2"/>
    <x v="2"/>
    <x v="0"/>
    <x v="2"/>
  </r>
  <r>
    <x v="11"/>
    <x v="0"/>
    <x v="0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x v="0"/>
    <n v="11"/>
    <n v="3"/>
    <n v="4"/>
    <n v="0"/>
    <n v="7"/>
    <n v="4"/>
    <n v="2"/>
    <n v="7"/>
    <n v="7"/>
    <n v="0"/>
    <n v="7"/>
    <n v="1"/>
    <x v="2"/>
    <x v="1"/>
    <x v="0"/>
    <x v="3"/>
    <x v="2"/>
  </r>
  <r>
    <x v="11"/>
    <x v="1"/>
    <x v="0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x v="1"/>
    <n v="17"/>
    <n v="3"/>
    <n v="3"/>
    <n v="0"/>
    <n v="4"/>
    <n v="2"/>
    <n v="3"/>
    <n v="3"/>
    <n v="2"/>
    <n v="2"/>
    <n v="2"/>
    <n v="0"/>
    <x v="2"/>
    <x v="0"/>
    <x v="2"/>
    <x v="0"/>
    <x v="1"/>
  </r>
  <r>
    <x v="7"/>
    <x v="1"/>
    <x v="0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x v="1"/>
    <n v="13"/>
    <n v="3"/>
    <n v="3"/>
    <n v="3"/>
    <n v="10"/>
    <n v="2"/>
    <n v="3"/>
    <n v="10"/>
    <n v="9"/>
    <n v="1"/>
    <n v="2"/>
    <n v="0"/>
    <x v="2"/>
    <x v="2"/>
    <x v="0"/>
    <x v="2"/>
    <x v="1"/>
  </r>
  <r>
    <x v="4"/>
    <x v="1"/>
    <x v="0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x v="1"/>
    <n v="18"/>
    <n v="3"/>
    <n v="1"/>
    <n v="1"/>
    <n v="8"/>
    <n v="3"/>
    <n v="3"/>
    <n v="8"/>
    <n v="7"/>
    <n v="0"/>
    <n v="7"/>
    <n v="0"/>
    <x v="2"/>
    <x v="2"/>
    <x v="0"/>
    <x v="1"/>
    <x v="1"/>
  </r>
  <r>
    <x v="2"/>
    <x v="1"/>
    <x v="0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x v="1"/>
    <n v="16"/>
    <n v="3"/>
    <n v="3"/>
    <n v="2"/>
    <n v="8"/>
    <n v="2"/>
    <n v="2"/>
    <n v="6"/>
    <n v="2"/>
    <n v="0"/>
    <n v="4"/>
    <n v="0"/>
    <x v="0"/>
    <x v="2"/>
    <x v="0"/>
    <x v="0"/>
    <x v="2"/>
  </r>
  <r>
    <x v="8"/>
    <x v="1"/>
    <x v="0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  <n v="0"/>
    <x v="0"/>
    <x v="3"/>
    <x v="3"/>
    <x v="0"/>
    <x v="1"/>
  </r>
  <r>
    <x v="12"/>
    <x v="1"/>
    <x v="0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x v="0"/>
    <n v="14"/>
    <n v="3"/>
    <n v="3"/>
    <n v="0"/>
    <n v="11"/>
    <n v="2"/>
    <n v="2"/>
    <n v="11"/>
    <n v="9"/>
    <n v="4"/>
    <n v="10"/>
    <n v="0"/>
    <x v="2"/>
    <x v="2"/>
    <x v="3"/>
    <x v="0"/>
    <x v="2"/>
  </r>
  <r>
    <x v="11"/>
    <x v="1"/>
    <x v="0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x v="0"/>
    <n v="14"/>
    <n v="3"/>
    <n v="1"/>
    <n v="2"/>
    <n v="7"/>
    <n v="2"/>
    <n v="3"/>
    <n v="7"/>
    <n v="7"/>
    <n v="1"/>
    <n v="7"/>
    <n v="0"/>
    <x v="2"/>
    <x v="2"/>
    <x v="0"/>
    <x v="1"/>
    <x v="1"/>
  </r>
  <r>
    <x v="10"/>
    <x v="1"/>
    <x v="0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x v="1"/>
    <n v="13"/>
    <n v="3"/>
    <n v="4"/>
    <n v="0"/>
    <n v="17"/>
    <n v="5"/>
    <n v="3"/>
    <n v="16"/>
    <n v="6"/>
    <n v="0"/>
    <n v="13"/>
    <n v="0"/>
    <x v="2"/>
    <x v="2"/>
    <x v="3"/>
    <x v="1"/>
    <x v="1"/>
  </r>
  <r>
    <x v="30"/>
    <x v="1"/>
    <x v="0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x v="1"/>
    <n v="12"/>
    <n v="3"/>
    <n v="3"/>
    <n v="2"/>
    <n v="4"/>
    <n v="2"/>
    <n v="2"/>
    <n v="4"/>
    <n v="2"/>
    <n v="0"/>
    <n v="2"/>
    <n v="0"/>
    <x v="4"/>
    <x v="1"/>
    <x v="2"/>
    <x v="0"/>
    <x v="2"/>
  </r>
  <r>
    <x v="0"/>
    <x v="1"/>
    <x v="0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x v="0"/>
    <n v="15"/>
    <n v="3"/>
    <n v="4"/>
    <n v="0"/>
    <n v="8"/>
    <n v="3"/>
    <n v="3"/>
    <n v="5"/>
    <n v="4"/>
    <n v="1"/>
    <n v="2"/>
    <n v="0"/>
    <x v="0"/>
    <x v="2"/>
    <x v="2"/>
    <x v="1"/>
    <x v="1"/>
  </r>
  <r>
    <x v="40"/>
    <x v="1"/>
    <x v="1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x v="1"/>
    <n v="19"/>
    <n v="3"/>
    <n v="1"/>
    <n v="0"/>
    <n v="5"/>
    <n v="3"/>
    <n v="3"/>
    <n v="0"/>
    <n v="0"/>
    <n v="0"/>
    <n v="0"/>
    <n v="0"/>
    <x v="1"/>
    <x v="1"/>
    <x v="1"/>
    <x v="2"/>
    <x v="1"/>
  </r>
  <r>
    <x v="19"/>
    <x v="1"/>
    <x v="0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x v="1"/>
    <n v="14"/>
    <n v="3"/>
    <n v="2"/>
    <n v="0"/>
    <n v="16"/>
    <n v="2"/>
    <n v="3"/>
    <n v="1"/>
    <n v="0"/>
    <n v="0"/>
    <n v="0"/>
    <n v="0"/>
    <x v="0"/>
    <x v="3"/>
    <x v="1"/>
    <x v="0"/>
    <x v="1"/>
  </r>
  <r>
    <x v="11"/>
    <x v="1"/>
    <x v="2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x v="1"/>
    <n v="14"/>
    <n v="3"/>
    <n v="1"/>
    <n v="1"/>
    <n v="4"/>
    <n v="3"/>
    <n v="2"/>
    <n v="4"/>
    <n v="3"/>
    <n v="0"/>
    <n v="2"/>
    <n v="0"/>
    <x v="2"/>
    <x v="0"/>
    <x v="2"/>
    <x v="2"/>
    <x v="2"/>
  </r>
  <r>
    <x v="19"/>
    <x v="1"/>
    <x v="0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x v="0"/>
    <n v="11"/>
    <n v="3"/>
    <n v="3"/>
    <n v="1"/>
    <n v="4"/>
    <n v="5"/>
    <n v="3"/>
    <n v="3"/>
    <n v="2"/>
    <n v="1"/>
    <n v="0"/>
    <n v="0"/>
    <x v="0"/>
    <x v="1"/>
    <x v="2"/>
    <x v="2"/>
    <x v="1"/>
  </r>
  <r>
    <x v="5"/>
    <x v="1"/>
    <x v="0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x v="1"/>
    <n v="13"/>
    <n v="3"/>
    <n v="3"/>
    <n v="1"/>
    <n v="8"/>
    <n v="4"/>
    <n v="3"/>
    <n v="8"/>
    <n v="0"/>
    <n v="0"/>
    <n v="7"/>
    <n v="0"/>
    <x v="2"/>
    <x v="1"/>
    <x v="0"/>
    <x v="1"/>
    <x v="1"/>
  </r>
  <r>
    <x v="26"/>
    <x v="1"/>
    <x v="0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x v="1"/>
    <n v="21"/>
    <n v="4"/>
    <n v="2"/>
    <n v="1"/>
    <n v="15"/>
    <n v="3"/>
    <n v="1"/>
    <n v="0"/>
    <n v="0"/>
    <n v="0"/>
    <n v="0"/>
    <n v="0"/>
    <x v="1"/>
    <x v="3"/>
    <x v="1"/>
    <x v="2"/>
    <x v="0"/>
  </r>
  <r>
    <x v="2"/>
    <x v="1"/>
    <x v="0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x v="0"/>
    <n v="13"/>
    <n v="3"/>
    <n v="1"/>
    <n v="2"/>
    <n v="13"/>
    <n v="2"/>
    <n v="3"/>
    <n v="7"/>
    <n v="7"/>
    <n v="6"/>
    <n v="7"/>
    <n v="0"/>
    <x v="0"/>
    <x v="0"/>
    <x v="0"/>
    <x v="3"/>
    <x v="1"/>
  </r>
  <r>
    <x v="7"/>
    <x v="1"/>
    <x v="2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x v="0"/>
    <n v="12"/>
    <n v="3"/>
    <n v="2"/>
    <n v="1"/>
    <n v="4"/>
    <n v="2"/>
    <n v="4"/>
    <n v="2"/>
    <n v="2"/>
    <n v="2"/>
    <n v="2"/>
    <n v="0"/>
    <x v="2"/>
    <x v="0"/>
    <x v="2"/>
    <x v="2"/>
    <x v="3"/>
  </r>
  <r>
    <x v="25"/>
    <x v="1"/>
    <x v="0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x v="1"/>
    <n v="17"/>
    <n v="3"/>
    <n v="2"/>
    <n v="1"/>
    <n v="8"/>
    <n v="3"/>
    <n v="3"/>
    <n v="8"/>
    <n v="7"/>
    <n v="7"/>
    <n v="7"/>
    <n v="0"/>
    <x v="2"/>
    <x v="0"/>
    <x v="0"/>
    <x v="2"/>
    <x v="1"/>
  </r>
  <r>
    <x v="19"/>
    <x v="1"/>
    <x v="0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x v="1"/>
    <n v="23"/>
    <n v="4"/>
    <n v="2"/>
    <n v="0"/>
    <n v="14"/>
    <n v="6"/>
    <n v="3"/>
    <n v="1"/>
    <n v="0"/>
    <n v="0"/>
    <n v="0"/>
    <n v="0"/>
    <x v="0"/>
    <x v="2"/>
    <x v="1"/>
    <x v="0"/>
    <x v="1"/>
  </r>
  <r>
    <x v="18"/>
    <x v="0"/>
    <x v="1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x v="0"/>
    <n v="11"/>
    <n v="3"/>
    <n v="3"/>
    <n v="0"/>
    <n v="3"/>
    <n v="3"/>
    <n v="3"/>
    <n v="3"/>
    <n v="2"/>
    <n v="1"/>
    <n v="2"/>
    <n v="1"/>
    <x v="4"/>
    <x v="1"/>
    <x v="2"/>
    <x v="1"/>
    <x v="1"/>
  </r>
  <r>
    <x v="9"/>
    <x v="1"/>
    <x v="2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x v="1"/>
    <n v="15"/>
    <n v="3"/>
    <n v="2"/>
    <n v="0"/>
    <n v="7"/>
    <n v="6"/>
    <n v="3"/>
    <n v="1"/>
    <n v="0"/>
    <n v="0"/>
    <n v="0"/>
    <n v="0"/>
    <x v="0"/>
    <x v="2"/>
    <x v="1"/>
    <x v="0"/>
    <x v="1"/>
  </r>
  <r>
    <x v="9"/>
    <x v="1"/>
    <x v="1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x v="1"/>
    <n v="11"/>
    <n v="3"/>
    <n v="1"/>
    <n v="1"/>
    <n v="16"/>
    <n v="2"/>
    <n v="3"/>
    <n v="13"/>
    <n v="9"/>
    <n v="1"/>
    <n v="12"/>
    <n v="0"/>
    <x v="0"/>
    <x v="2"/>
    <x v="3"/>
    <x v="0"/>
    <x v="1"/>
  </r>
  <r>
    <x v="38"/>
    <x v="1"/>
    <x v="0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x v="1"/>
    <n v="11"/>
    <n v="3"/>
    <n v="3"/>
    <n v="0"/>
    <n v="15"/>
    <n v="2"/>
    <n v="3"/>
    <n v="3"/>
    <n v="2"/>
    <n v="1"/>
    <n v="2"/>
    <n v="0"/>
    <x v="3"/>
    <x v="2"/>
    <x v="2"/>
    <x v="2"/>
    <x v="1"/>
  </r>
  <r>
    <x v="32"/>
    <x v="1"/>
    <x v="0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x v="0"/>
    <n v="13"/>
    <n v="3"/>
    <n v="3"/>
    <n v="1"/>
    <n v="10"/>
    <n v="3"/>
    <n v="3"/>
    <n v="7"/>
    <n v="7"/>
    <n v="1"/>
    <n v="7"/>
    <n v="0"/>
    <x v="0"/>
    <x v="1"/>
    <x v="0"/>
    <x v="2"/>
    <x v="1"/>
  </r>
  <r>
    <x v="18"/>
    <x v="1"/>
    <x v="2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x v="1"/>
    <n v="24"/>
    <n v="4"/>
    <n v="3"/>
    <n v="0"/>
    <n v="3"/>
    <n v="3"/>
    <n v="2"/>
    <n v="3"/>
    <n v="2"/>
    <n v="2"/>
    <n v="2"/>
    <n v="0"/>
    <x v="4"/>
    <x v="1"/>
    <x v="2"/>
    <x v="0"/>
    <x v="2"/>
  </r>
  <r>
    <x v="3"/>
    <x v="0"/>
    <x v="0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x v="0"/>
    <n v="13"/>
    <n v="3"/>
    <n v="2"/>
    <n v="0"/>
    <n v="1"/>
    <n v="2"/>
    <n v="3"/>
    <n v="1"/>
    <n v="0"/>
    <n v="0"/>
    <n v="0"/>
    <n v="1"/>
    <x v="2"/>
    <x v="1"/>
    <x v="1"/>
    <x v="2"/>
    <x v="1"/>
  </r>
  <r>
    <x v="2"/>
    <x v="1"/>
    <x v="0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x v="1"/>
    <n v="20"/>
    <n v="4"/>
    <n v="2"/>
    <n v="1"/>
    <n v="17"/>
    <n v="3"/>
    <n v="3"/>
    <n v="5"/>
    <n v="4"/>
    <n v="0"/>
    <n v="3"/>
    <n v="0"/>
    <x v="0"/>
    <x v="0"/>
    <x v="2"/>
    <x v="3"/>
    <x v="1"/>
  </r>
  <r>
    <x v="21"/>
    <x v="1"/>
    <x v="2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x v="1"/>
    <n v="14"/>
    <n v="3"/>
    <n v="3"/>
    <n v="0"/>
    <n v="7"/>
    <n v="2"/>
    <n v="4"/>
    <n v="1"/>
    <n v="0"/>
    <n v="0"/>
    <n v="0"/>
    <n v="0"/>
    <x v="1"/>
    <x v="0"/>
    <x v="1"/>
    <x v="2"/>
    <x v="3"/>
  </r>
  <r>
    <x v="0"/>
    <x v="0"/>
    <x v="1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x v="1"/>
    <n v="18"/>
    <n v="3"/>
    <n v="3"/>
    <n v="0"/>
    <n v="8"/>
    <n v="5"/>
    <n v="3"/>
    <n v="8"/>
    <n v="7"/>
    <n v="7"/>
    <n v="7"/>
    <n v="1"/>
    <x v="0"/>
    <x v="2"/>
    <x v="0"/>
    <x v="1"/>
    <x v="1"/>
  </r>
  <r>
    <x v="24"/>
    <x v="1"/>
    <x v="0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x v="1"/>
    <n v="15"/>
    <n v="3"/>
    <n v="4"/>
    <n v="0"/>
    <n v="20"/>
    <n v="2"/>
    <n v="3"/>
    <n v="4"/>
    <n v="3"/>
    <n v="1"/>
    <n v="3"/>
    <n v="0"/>
    <x v="1"/>
    <x v="3"/>
    <x v="2"/>
    <x v="0"/>
    <x v="1"/>
  </r>
  <r>
    <x v="32"/>
    <x v="0"/>
    <x v="0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x v="0"/>
    <n v="12"/>
    <n v="3"/>
    <n v="1"/>
    <n v="2"/>
    <n v="8"/>
    <n v="6"/>
    <n v="3"/>
    <n v="6"/>
    <n v="4"/>
    <n v="1"/>
    <n v="0"/>
    <n v="1"/>
    <x v="0"/>
    <x v="2"/>
    <x v="0"/>
    <x v="2"/>
    <x v="1"/>
  </r>
  <r>
    <x v="12"/>
    <x v="1"/>
    <x v="0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x v="0"/>
    <n v="16"/>
    <n v="3"/>
    <n v="4"/>
    <n v="0"/>
    <n v="3"/>
    <n v="5"/>
    <n v="3"/>
    <n v="2"/>
    <n v="2"/>
    <n v="2"/>
    <n v="2"/>
    <n v="0"/>
    <x v="2"/>
    <x v="1"/>
    <x v="2"/>
    <x v="1"/>
    <x v="1"/>
  </r>
  <r>
    <x v="18"/>
    <x v="0"/>
    <x v="0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x v="1"/>
    <n v="15"/>
    <n v="3"/>
    <n v="4"/>
    <n v="0"/>
    <n v="1"/>
    <n v="0"/>
    <n v="3"/>
    <n v="1"/>
    <n v="0"/>
    <n v="0"/>
    <n v="0"/>
    <n v="1"/>
    <x v="4"/>
    <x v="1"/>
    <x v="1"/>
    <x v="1"/>
    <x v="1"/>
  </r>
  <r>
    <x v="11"/>
    <x v="1"/>
    <x v="0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x v="1"/>
    <n v="16"/>
    <n v="3"/>
    <n v="4"/>
    <n v="0"/>
    <n v="6"/>
    <n v="4"/>
    <n v="3"/>
    <n v="3"/>
    <n v="2"/>
    <n v="1"/>
    <n v="2"/>
    <n v="0"/>
    <x v="2"/>
    <x v="1"/>
    <x v="2"/>
    <x v="0"/>
    <x v="1"/>
  </r>
  <r>
    <x v="10"/>
    <x v="1"/>
    <x v="0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x v="1"/>
    <n v="19"/>
    <n v="3"/>
    <n v="3"/>
    <n v="0"/>
    <n v="10"/>
    <n v="5"/>
    <n v="3"/>
    <n v="1"/>
    <n v="1"/>
    <n v="0"/>
    <n v="0"/>
    <n v="0"/>
    <x v="2"/>
    <x v="2"/>
    <x v="1"/>
    <x v="1"/>
    <x v="1"/>
  </r>
  <r>
    <x v="4"/>
    <x v="1"/>
    <x v="0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x v="1"/>
    <n v="11"/>
    <n v="3"/>
    <n v="2"/>
    <n v="1"/>
    <n v="5"/>
    <n v="2"/>
    <n v="3"/>
    <n v="5"/>
    <n v="2"/>
    <n v="0"/>
    <n v="4"/>
    <n v="0"/>
    <x v="2"/>
    <x v="0"/>
    <x v="2"/>
    <x v="1"/>
    <x v="1"/>
  </r>
  <r>
    <x v="14"/>
    <x v="1"/>
    <x v="0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x v="1"/>
    <n v="16"/>
    <n v="3"/>
    <n v="4"/>
    <n v="0"/>
    <n v="7"/>
    <n v="1"/>
    <n v="3"/>
    <n v="7"/>
    <n v="5"/>
    <n v="0"/>
    <n v="7"/>
    <n v="0"/>
    <x v="2"/>
    <x v="0"/>
    <x v="0"/>
    <x v="0"/>
    <x v="1"/>
  </r>
  <r>
    <x v="1"/>
    <x v="1"/>
    <x v="0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x v="1"/>
    <n v="24"/>
    <n v="4"/>
    <n v="3"/>
    <n v="0"/>
    <n v="26"/>
    <n v="2"/>
    <n v="3"/>
    <n v="5"/>
    <n v="2"/>
    <n v="0"/>
    <n v="0"/>
    <n v="0"/>
    <x v="1"/>
    <x v="3"/>
    <x v="2"/>
    <x v="2"/>
    <x v="1"/>
  </r>
  <r>
    <x v="31"/>
    <x v="1"/>
    <x v="0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x v="1"/>
    <n v="11"/>
    <n v="3"/>
    <n v="3"/>
    <n v="1"/>
    <n v="18"/>
    <n v="2"/>
    <n v="2"/>
    <n v="7"/>
    <n v="7"/>
    <n v="0"/>
    <n v="7"/>
    <n v="0"/>
    <x v="1"/>
    <x v="0"/>
    <x v="0"/>
    <x v="0"/>
    <x v="2"/>
  </r>
  <r>
    <x v="9"/>
    <x v="1"/>
    <x v="0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x v="1"/>
    <n v="13"/>
    <n v="3"/>
    <n v="2"/>
    <n v="1"/>
    <n v="6"/>
    <n v="3"/>
    <n v="3"/>
    <n v="2"/>
    <n v="2"/>
    <n v="2"/>
    <n v="2"/>
    <n v="0"/>
    <x v="0"/>
    <x v="1"/>
    <x v="2"/>
    <x v="2"/>
    <x v="1"/>
  </r>
  <r>
    <x v="13"/>
    <x v="0"/>
    <x v="2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x v="0"/>
    <n v="13"/>
    <n v="3"/>
    <n v="2"/>
    <n v="0"/>
    <n v="9"/>
    <n v="3"/>
    <n v="2"/>
    <n v="5"/>
    <n v="2"/>
    <n v="0"/>
    <n v="4"/>
    <n v="1"/>
    <x v="2"/>
    <x v="0"/>
    <x v="2"/>
    <x v="0"/>
    <x v="2"/>
  </r>
  <r>
    <x v="27"/>
    <x v="1"/>
    <x v="0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x v="0"/>
    <n v="13"/>
    <n v="3"/>
    <n v="3"/>
    <n v="0"/>
    <n v="30"/>
    <n v="2"/>
    <n v="3"/>
    <n v="5"/>
    <n v="4"/>
    <n v="1"/>
    <n v="2"/>
    <n v="0"/>
    <x v="1"/>
    <x v="3"/>
    <x v="2"/>
    <x v="0"/>
    <x v="1"/>
  </r>
  <r>
    <x v="17"/>
    <x v="1"/>
    <x v="0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x v="0"/>
    <n v="12"/>
    <n v="3"/>
    <n v="4"/>
    <n v="1"/>
    <n v="5"/>
    <n v="2"/>
    <n v="4"/>
    <n v="5"/>
    <n v="2"/>
    <n v="0"/>
    <n v="3"/>
    <n v="0"/>
    <x v="4"/>
    <x v="0"/>
    <x v="2"/>
    <x v="2"/>
    <x v="3"/>
  </r>
  <r>
    <x v="7"/>
    <x v="1"/>
    <x v="0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x v="1"/>
    <n v="18"/>
    <n v="3"/>
    <n v="1"/>
    <n v="1"/>
    <n v="1"/>
    <n v="3"/>
    <n v="3"/>
    <n v="1"/>
    <n v="0"/>
    <n v="0"/>
    <n v="0"/>
    <n v="0"/>
    <x v="2"/>
    <x v="1"/>
    <x v="1"/>
    <x v="1"/>
    <x v="1"/>
  </r>
  <r>
    <x v="25"/>
    <x v="0"/>
    <x v="1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x v="1"/>
    <n v="22"/>
    <n v="4"/>
    <n v="3"/>
    <n v="0"/>
    <n v="7"/>
    <n v="2"/>
    <n v="3"/>
    <n v="6"/>
    <n v="4"/>
    <n v="0"/>
    <n v="4"/>
    <n v="1"/>
    <x v="2"/>
    <x v="0"/>
    <x v="0"/>
    <x v="3"/>
    <x v="1"/>
  </r>
  <r>
    <x v="15"/>
    <x v="1"/>
    <x v="0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x v="1"/>
    <n v="13"/>
    <n v="3"/>
    <n v="4"/>
    <n v="1"/>
    <n v="2"/>
    <n v="1"/>
    <n v="3"/>
    <n v="2"/>
    <n v="1"/>
    <n v="1"/>
    <n v="2"/>
    <n v="0"/>
    <x v="4"/>
    <x v="1"/>
    <x v="2"/>
    <x v="1"/>
    <x v="1"/>
  </r>
  <r>
    <x v="9"/>
    <x v="1"/>
    <x v="0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x v="1"/>
    <n v="13"/>
    <n v="3"/>
    <n v="2"/>
    <n v="2"/>
    <n v="10"/>
    <n v="2"/>
    <n v="3"/>
    <n v="10"/>
    <n v="9"/>
    <n v="9"/>
    <n v="0"/>
    <n v="0"/>
    <x v="0"/>
    <x v="2"/>
    <x v="0"/>
    <x v="2"/>
    <x v="1"/>
  </r>
  <r>
    <x v="7"/>
    <x v="0"/>
    <x v="1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x v="0"/>
    <n v="23"/>
    <n v="4"/>
    <n v="3"/>
    <n v="0"/>
    <n v="3"/>
    <n v="4"/>
    <n v="3"/>
    <n v="1"/>
    <n v="0"/>
    <n v="0"/>
    <n v="0"/>
    <n v="1"/>
    <x v="2"/>
    <x v="1"/>
    <x v="1"/>
    <x v="0"/>
    <x v="1"/>
  </r>
  <r>
    <x v="2"/>
    <x v="1"/>
    <x v="0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  <n v="0"/>
    <x v="0"/>
    <x v="0"/>
    <x v="3"/>
    <x v="3"/>
    <x v="2"/>
  </r>
  <r>
    <x v="32"/>
    <x v="1"/>
    <x v="0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x v="1"/>
    <n v="12"/>
    <n v="3"/>
    <n v="3"/>
    <n v="2"/>
    <n v="8"/>
    <n v="5"/>
    <n v="3"/>
    <n v="5"/>
    <n v="4"/>
    <n v="1"/>
    <n v="3"/>
    <n v="0"/>
    <x v="0"/>
    <x v="0"/>
    <x v="2"/>
    <x v="1"/>
    <x v="1"/>
  </r>
  <r>
    <x v="19"/>
    <x v="1"/>
    <x v="0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x v="1"/>
    <n v="16"/>
    <n v="3"/>
    <n v="2"/>
    <n v="1"/>
    <n v="8"/>
    <n v="5"/>
    <n v="3"/>
    <n v="5"/>
    <n v="2"/>
    <n v="1"/>
    <n v="2"/>
    <n v="0"/>
    <x v="0"/>
    <x v="1"/>
    <x v="2"/>
    <x v="3"/>
    <x v="1"/>
  </r>
  <r>
    <x v="2"/>
    <x v="1"/>
    <x v="0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x v="0"/>
    <n v="12"/>
    <n v="3"/>
    <n v="4"/>
    <n v="0"/>
    <n v="18"/>
    <n v="2"/>
    <n v="2"/>
    <n v="1"/>
    <n v="0"/>
    <n v="0"/>
    <n v="1"/>
    <n v="0"/>
    <x v="0"/>
    <x v="0"/>
    <x v="1"/>
    <x v="1"/>
    <x v="2"/>
  </r>
  <r>
    <x v="23"/>
    <x v="1"/>
    <x v="0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x v="1"/>
    <n v="11"/>
    <n v="3"/>
    <n v="3"/>
    <n v="1"/>
    <n v="25"/>
    <n v="3"/>
    <n v="3"/>
    <n v="25"/>
    <n v="10"/>
    <n v="3"/>
    <n v="9"/>
    <n v="0"/>
    <x v="0"/>
    <x v="3"/>
    <x v="3"/>
    <x v="1"/>
    <x v="1"/>
  </r>
  <r>
    <x v="32"/>
    <x v="1"/>
    <x v="0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x v="1"/>
    <n v="22"/>
    <n v="4"/>
    <n v="2"/>
    <n v="1"/>
    <n v="20"/>
    <n v="3"/>
    <n v="3"/>
    <n v="1"/>
    <n v="0"/>
    <n v="0"/>
    <n v="0"/>
    <n v="0"/>
    <x v="0"/>
    <x v="0"/>
    <x v="1"/>
    <x v="2"/>
    <x v="1"/>
  </r>
  <r>
    <x v="33"/>
    <x v="1"/>
    <x v="0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x v="1"/>
    <n v="11"/>
    <n v="3"/>
    <n v="3"/>
    <n v="1"/>
    <n v="24"/>
    <n v="4"/>
    <n v="2"/>
    <n v="4"/>
    <n v="2"/>
    <n v="1"/>
    <n v="2"/>
    <n v="0"/>
    <x v="1"/>
    <x v="3"/>
    <x v="2"/>
    <x v="3"/>
    <x v="2"/>
  </r>
  <r>
    <x v="13"/>
    <x v="1"/>
    <x v="2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x v="1"/>
    <n v="15"/>
    <n v="3"/>
    <n v="1"/>
    <n v="1"/>
    <n v="6"/>
    <n v="3"/>
    <n v="3"/>
    <n v="3"/>
    <n v="2"/>
    <n v="1"/>
    <n v="2"/>
    <n v="0"/>
    <x v="2"/>
    <x v="2"/>
    <x v="2"/>
    <x v="2"/>
    <x v="1"/>
  </r>
  <r>
    <x v="12"/>
    <x v="1"/>
    <x v="0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x v="1"/>
    <n v="12"/>
    <n v="3"/>
    <n v="2"/>
    <n v="1"/>
    <n v="13"/>
    <n v="5"/>
    <n v="1"/>
    <n v="13"/>
    <n v="10"/>
    <n v="3"/>
    <n v="12"/>
    <n v="0"/>
    <x v="2"/>
    <x v="0"/>
    <x v="3"/>
    <x v="3"/>
    <x v="0"/>
  </r>
  <r>
    <x v="23"/>
    <x v="1"/>
    <x v="1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x v="1"/>
    <n v="20"/>
    <n v="4"/>
    <n v="1"/>
    <n v="1"/>
    <n v="8"/>
    <n v="1"/>
    <n v="3"/>
    <n v="3"/>
    <n v="2"/>
    <n v="1"/>
    <n v="2"/>
    <n v="0"/>
    <x v="0"/>
    <x v="1"/>
    <x v="2"/>
    <x v="0"/>
    <x v="1"/>
  </r>
  <r>
    <x v="23"/>
    <x v="1"/>
    <x v="0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x v="0"/>
    <n v="14"/>
    <n v="3"/>
    <n v="4"/>
    <n v="0"/>
    <n v="8"/>
    <n v="3"/>
    <n v="3"/>
    <n v="5"/>
    <n v="2"/>
    <n v="0"/>
    <n v="2"/>
    <n v="0"/>
    <x v="0"/>
    <x v="0"/>
    <x v="2"/>
    <x v="2"/>
    <x v="1"/>
  </r>
  <r>
    <x v="36"/>
    <x v="1"/>
    <x v="0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x v="0"/>
    <n v="11"/>
    <n v="3"/>
    <n v="2"/>
    <n v="0"/>
    <n v="5"/>
    <n v="3"/>
    <n v="3"/>
    <n v="5"/>
    <n v="4"/>
    <n v="1"/>
    <n v="3"/>
    <n v="0"/>
    <x v="4"/>
    <x v="0"/>
    <x v="2"/>
    <x v="0"/>
    <x v="1"/>
  </r>
  <r>
    <x v="2"/>
    <x v="1"/>
    <x v="2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x v="0"/>
    <n v="15"/>
    <n v="3"/>
    <n v="1"/>
    <n v="2"/>
    <n v="15"/>
    <n v="2"/>
    <n v="3"/>
    <n v="13"/>
    <n v="11"/>
    <n v="10"/>
    <n v="7"/>
    <n v="0"/>
    <x v="0"/>
    <x v="0"/>
    <x v="3"/>
    <x v="2"/>
    <x v="1"/>
  </r>
  <r>
    <x v="12"/>
    <x v="1"/>
    <x v="0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x v="1"/>
    <n v="12"/>
    <n v="3"/>
    <n v="3"/>
    <n v="1"/>
    <n v="4"/>
    <n v="3"/>
    <n v="3"/>
    <n v="4"/>
    <n v="2"/>
    <n v="3"/>
    <n v="2"/>
    <n v="0"/>
    <x v="2"/>
    <x v="1"/>
    <x v="2"/>
    <x v="3"/>
    <x v="1"/>
  </r>
  <r>
    <x v="22"/>
    <x v="1"/>
    <x v="1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x v="0"/>
    <n v="14"/>
    <n v="3"/>
    <n v="3"/>
    <n v="1"/>
    <n v="21"/>
    <n v="3"/>
    <n v="3"/>
    <n v="21"/>
    <n v="8"/>
    <n v="1"/>
    <n v="6"/>
    <n v="0"/>
    <x v="0"/>
    <x v="3"/>
    <x v="3"/>
    <x v="2"/>
    <x v="1"/>
  </r>
  <r>
    <x v="29"/>
    <x v="1"/>
    <x v="1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x v="1"/>
    <n v="11"/>
    <n v="3"/>
    <n v="4"/>
    <n v="3"/>
    <n v="36"/>
    <n v="0"/>
    <n v="2"/>
    <n v="7"/>
    <n v="7"/>
    <n v="7"/>
    <n v="7"/>
    <n v="0"/>
    <x v="3"/>
    <x v="3"/>
    <x v="0"/>
    <x v="3"/>
    <x v="2"/>
  </r>
  <r>
    <x v="7"/>
    <x v="1"/>
    <x v="0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x v="1"/>
    <n v="11"/>
    <n v="3"/>
    <n v="2"/>
    <n v="0"/>
    <n v="6"/>
    <n v="6"/>
    <n v="3"/>
    <n v="5"/>
    <n v="4"/>
    <n v="4"/>
    <n v="4"/>
    <n v="0"/>
    <x v="2"/>
    <x v="2"/>
    <x v="2"/>
    <x v="2"/>
    <x v="1"/>
  </r>
  <r>
    <x v="0"/>
    <x v="1"/>
    <x v="0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x v="1"/>
    <n v="16"/>
    <n v="3"/>
    <n v="3"/>
    <n v="1"/>
    <n v="10"/>
    <n v="2"/>
    <n v="3"/>
    <n v="10"/>
    <n v="7"/>
    <n v="0"/>
    <n v="7"/>
    <n v="0"/>
    <x v="0"/>
    <x v="2"/>
    <x v="0"/>
    <x v="3"/>
    <x v="1"/>
  </r>
  <r>
    <x v="14"/>
    <x v="1"/>
    <x v="0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x v="1"/>
    <n v="12"/>
    <n v="3"/>
    <n v="4"/>
    <n v="1"/>
    <n v="10"/>
    <n v="2"/>
    <n v="3"/>
    <n v="10"/>
    <n v="0"/>
    <n v="1"/>
    <n v="8"/>
    <n v="0"/>
    <x v="2"/>
    <x v="0"/>
    <x v="0"/>
    <x v="3"/>
    <x v="1"/>
  </r>
  <r>
    <x v="36"/>
    <x v="0"/>
    <x v="0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x v="1"/>
    <n v="13"/>
    <n v="3"/>
    <n v="3"/>
    <n v="1"/>
    <n v="6"/>
    <n v="5"/>
    <n v="3"/>
    <n v="2"/>
    <n v="2"/>
    <n v="0"/>
    <n v="2"/>
    <n v="1"/>
    <x v="4"/>
    <x v="0"/>
    <x v="2"/>
    <x v="3"/>
    <x v="1"/>
  </r>
  <r>
    <x v="39"/>
    <x v="1"/>
    <x v="0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x v="0"/>
    <n v="14"/>
    <n v="3"/>
    <n v="3"/>
    <n v="0"/>
    <n v="28"/>
    <n v="4"/>
    <n v="3"/>
    <n v="5"/>
    <n v="4"/>
    <n v="0"/>
    <n v="4"/>
    <n v="0"/>
    <x v="1"/>
    <x v="2"/>
    <x v="2"/>
    <x v="2"/>
    <x v="1"/>
  </r>
  <r>
    <x v="28"/>
    <x v="1"/>
    <x v="0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x v="1"/>
    <n v="21"/>
    <n v="4"/>
    <n v="4"/>
    <n v="2"/>
    <n v="8"/>
    <n v="3"/>
    <n v="2"/>
    <n v="2"/>
    <n v="2"/>
    <n v="0"/>
    <n v="2"/>
    <n v="0"/>
    <x v="0"/>
    <x v="1"/>
    <x v="2"/>
    <x v="0"/>
    <x v="2"/>
  </r>
  <r>
    <x v="39"/>
    <x v="1"/>
    <x v="0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x v="1"/>
    <n v="13"/>
    <n v="3"/>
    <n v="4"/>
    <n v="0"/>
    <n v="31"/>
    <n v="2"/>
    <n v="1"/>
    <n v="5"/>
    <n v="2"/>
    <n v="1"/>
    <n v="4"/>
    <n v="0"/>
    <x v="1"/>
    <x v="3"/>
    <x v="2"/>
    <x v="0"/>
    <x v="0"/>
  </r>
  <r>
    <x v="19"/>
    <x v="1"/>
    <x v="1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x v="1"/>
    <n v="11"/>
    <n v="3"/>
    <n v="2"/>
    <n v="1"/>
    <n v="19"/>
    <n v="3"/>
    <n v="3"/>
    <n v="5"/>
    <n v="4"/>
    <n v="0"/>
    <n v="2"/>
    <n v="0"/>
    <x v="0"/>
    <x v="0"/>
    <x v="2"/>
    <x v="2"/>
    <x v="1"/>
  </r>
  <r>
    <x v="7"/>
    <x v="1"/>
    <x v="0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x v="1"/>
    <n v="20"/>
    <n v="4"/>
    <n v="3"/>
    <n v="0"/>
    <n v="11"/>
    <n v="2"/>
    <n v="3"/>
    <n v="5"/>
    <n v="4"/>
    <n v="0"/>
    <n v="2"/>
    <n v="0"/>
    <x v="2"/>
    <x v="2"/>
    <x v="2"/>
    <x v="0"/>
    <x v="1"/>
  </r>
  <r>
    <x v="42"/>
    <x v="1"/>
    <x v="0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x v="1"/>
    <n v="11"/>
    <n v="3"/>
    <n v="4"/>
    <n v="0"/>
    <n v="33"/>
    <n v="5"/>
    <n v="1"/>
    <n v="29"/>
    <n v="8"/>
    <n v="11"/>
    <n v="10"/>
    <n v="0"/>
    <x v="3"/>
    <x v="3"/>
    <x v="3"/>
    <x v="3"/>
    <x v="0"/>
  </r>
  <r>
    <x v="21"/>
    <x v="1"/>
    <x v="0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x v="1"/>
    <n v="14"/>
    <n v="3"/>
    <n v="3"/>
    <n v="1"/>
    <n v="19"/>
    <n v="5"/>
    <n v="2"/>
    <n v="10"/>
    <n v="7"/>
    <n v="0"/>
    <n v="8"/>
    <n v="0"/>
    <x v="1"/>
    <x v="0"/>
    <x v="0"/>
    <x v="2"/>
    <x v="2"/>
  </r>
  <r>
    <x v="19"/>
    <x v="1"/>
    <x v="1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x v="1"/>
    <n v="11"/>
    <n v="3"/>
    <n v="4"/>
    <n v="3"/>
    <n v="7"/>
    <n v="4"/>
    <n v="4"/>
    <n v="6"/>
    <n v="5"/>
    <n v="0"/>
    <n v="4"/>
    <n v="0"/>
    <x v="0"/>
    <x v="0"/>
    <x v="0"/>
    <x v="0"/>
    <x v="3"/>
  </r>
  <r>
    <x v="17"/>
    <x v="0"/>
    <x v="0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x v="0"/>
    <n v="16"/>
    <n v="3"/>
    <n v="2"/>
    <n v="0"/>
    <n v="6"/>
    <n v="4"/>
    <n v="3"/>
    <n v="5"/>
    <n v="3"/>
    <n v="1"/>
    <n v="4"/>
    <n v="1"/>
    <x v="4"/>
    <x v="0"/>
    <x v="2"/>
    <x v="1"/>
    <x v="1"/>
  </r>
  <r>
    <x v="13"/>
    <x v="0"/>
    <x v="1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x v="1"/>
    <n v="16"/>
    <n v="3"/>
    <n v="4"/>
    <n v="1"/>
    <n v="3"/>
    <n v="3"/>
    <n v="2"/>
    <n v="2"/>
    <n v="2"/>
    <n v="1"/>
    <n v="0"/>
    <n v="1"/>
    <x v="2"/>
    <x v="1"/>
    <x v="2"/>
    <x v="2"/>
    <x v="2"/>
  </r>
  <r>
    <x v="8"/>
    <x v="1"/>
    <x v="1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x v="0"/>
    <n v="23"/>
    <n v="4"/>
    <n v="3"/>
    <n v="1"/>
    <n v="1"/>
    <n v="3"/>
    <n v="3"/>
    <n v="1"/>
    <n v="0"/>
    <n v="0"/>
    <n v="0"/>
    <n v="0"/>
    <x v="0"/>
    <x v="1"/>
    <x v="1"/>
    <x v="0"/>
    <x v="1"/>
  </r>
  <r>
    <x v="32"/>
    <x v="1"/>
    <x v="0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  <n v="0"/>
    <x v="0"/>
    <x v="3"/>
    <x v="3"/>
    <x v="2"/>
    <x v="1"/>
  </r>
  <r>
    <x v="25"/>
    <x v="1"/>
    <x v="0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x v="1"/>
    <n v="22"/>
    <n v="4"/>
    <n v="2"/>
    <n v="2"/>
    <n v="3"/>
    <n v="3"/>
    <n v="1"/>
    <n v="3"/>
    <n v="2"/>
    <n v="0"/>
    <n v="2"/>
    <n v="0"/>
    <x v="2"/>
    <x v="1"/>
    <x v="2"/>
    <x v="0"/>
    <x v="0"/>
  </r>
  <r>
    <x v="7"/>
    <x v="1"/>
    <x v="2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x v="1"/>
    <n v="15"/>
    <n v="3"/>
    <n v="3"/>
    <n v="1"/>
    <n v="9"/>
    <n v="3"/>
    <n v="1"/>
    <n v="5"/>
    <n v="3"/>
    <n v="1"/>
    <n v="4"/>
    <n v="0"/>
    <x v="2"/>
    <x v="1"/>
    <x v="2"/>
    <x v="0"/>
    <x v="0"/>
  </r>
  <r>
    <x v="11"/>
    <x v="1"/>
    <x v="0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x v="1"/>
    <n v="18"/>
    <n v="3"/>
    <n v="3"/>
    <n v="0"/>
    <n v="10"/>
    <n v="2"/>
    <n v="3"/>
    <n v="10"/>
    <n v="2"/>
    <n v="0"/>
    <n v="7"/>
    <n v="0"/>
    <x v="2"/>
    <x v="3"/>
    <x v="0"/>
    <x v="2"/>
    <x v="1"/>
  </r>
  <r>
    <x v="11"/>
    <x v="0"/>
    <x v="0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x v="1"/>
    <n v="16"/>
    <n v="3"/>
    <n v="2"/>
    <n v="0"/>
    <n v="6"/>
    <n v="2"/>
    <n v="4"/>
    <n v="2"/>
    <n v="2"/>
    <n v="1"/>
    <n v="1"/>
    <n v="1"/>
    <x v="2"/>
    <x v="1"/>
    <x v="2"/>
    <x v="1"/>
    <x v="3"/>
  </r>
  <r>
    <x v="37"/>
    <x v="0"/>
    <x v="0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x v="1"/>
    <n v="12"/>
    <n v="3"/>
    <n v="3"/>
    <n v="0"/>
    <n v="1"/>
    <n v="3"/>
    <n v="4"/>
    <n v="1"/>
    <n v="0"/>
    <n v="0"/>
    <n v="0"/>
    <n v="1"/>
    <x v="4"/>
    <x v="1"/>
    <x v="1"/>
    <x v="0"/>
    <x v="3"/>
  </r>
  <r>
    <x v="7"/>
    <x v="1"/>
    <x v="2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x v="1"/>
    <n v="11"/>
    <n v="3"/>
    <n v="3"/>
    <n v="0"/>
    <n v="10"/>
    <n v="3"/>
    <n v="3"/>
    <n v="9"/>
    <n v="8"/>
    <n v="7"/>
    <n v="8"/>
    <n v="0"/>
    <x v="2"/>
    <x v="2"/>
    <x v="0"/>
    <x v="3"/>
    <x v="1"/>
  </r>
  <r>
    <x v="38"/>
    <x v="1"/>
    <x v="0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x v="1"/>
    <n v="12"/>
    <n v="3"/>
    <n v="3"/>
    <n v="1"/>
    <n v="32"/>
    <n v="3"/>
    <n v="2"/>
    <n v="1"/>
    <n v="0"/>
    <n v="0"/>
    <n v="0"/>
    <n v="0"/>
    <x v="3"/>
    <x v="3"/>
    <x v="1"/>
    <x v="0"/>
    <x v="2"/>
  </r>
  <r>
    <x v="24"/>
    <x v="1"/>
    <x v="0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x v="1"/>
    <n v="15"/>
    <n v="3"/>
    <n v="2"/>
    <n v="1"/>
    <n v="28"/>
    <n v="2"/>
    <n v="3"/>
    <n v="27"/>
    <n v="10"/>
    <n v="15"/>
    <n v="7"/>
    <n v="0"/>
    <x v="1"/>
    <x v="3"/>
    <x v="3"/>
    <x v="2"/>
    <x v="1"/>
  </r>
  <r>
    <x v="7"/>
    <x v="1"/>
    <x v="2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x v="1"/>
    <n v="14"/>
    <n v="3"/>
    <n v="3"/>
    <n v="0"/>
    <n v="12"/>
    <n v="2"/>
    <n v="2"/>
    <n v="11"/>
    <n v="7"/>
    <n v="6"/>
    <n v="7"/>
    <n v="0"/>
    <x v="2"/>
    <x v="1"/>
    <x v="3"/>
    <x v="0"/>
    <x v="2"/>
  </r>
  <r>
    <x v="42"/>
    <x v="1"/>
    <x v="1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  <n v="0"/>
    <x v="3"/>
    <x v="3"/>
    <x v="3"/>
    <x v="3"/>
    <x v="3"/>
  </r>
  <r>
    <x v="40"/>
    <x v="1"/>
    <x v="0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x v="1"/>
    <n v="13"/>
    <n v="3"/>
    <n v="3"/>
    <n v="3"/>
    <n v="20"/>
    <n v="2"/>
    <n v="3"/>
    <n v="5"/>
    <n v="0"/>
    <n v="0"/>
    <n v="4"/>
    <n v="0"/>
    <x v="1"/>
    <x v="0"/>
    <x v="2"/>
    <x v="0"/>
    <x v="1"/>
  </r>
  <r>
    <x v="21"/>
    <x v="1"/>
    <x v="0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x v="1"/>
    <n v="13"/>
    <n v="3"/>
    <n v="3"/>
    <n v="0"/>
    <n v="26"/>
    <n v="2"/>
    <n v="1"/>
    <n v="3"/>
    <n v="2"/>
    <n v="0"/>
    <n v="1"/>
    <n v="0"/>
    <x v="1"/>
    <x v="3"/>
    <x v="2"/>
    <x v="2"/>
    <x v="0"/>
  </r>
  <r>
    <x v="10"/>
    <x v="1"/>
    <x v="0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x v="1"/>
    <n v="15"/>
    <n v="3"/>
    <n v="3"/>
    <n v="0"/>
    <n v="6"/>
    <n v="2"/>
    <n v="3"/>
    <n v="5"/>
    <n v="4"/>
    <n v="4"/>
    <n v="3"/>
    <n v="0"/>
    <x v="2"/>
    <x v="0"/>
    <x v="2"/>
    <x v="2"/>
    <x v="1"/>
  </r>
  <r>
    <x v="33"/>
    <x v="1"/>
    <x v="0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x v="1"/>
    <n v="11"/>
    <n v="3"/>
    <n v="3"/>
    <n v="0"/>
    <n v="19"/>
    <n v="3"/>
    <n v="3"/>
    <n v="1"/>
    <n v="0"/>
    <n v="0"/>
    <n v="0"/>
    <n v="0"/>
    <x v="1"/>
    <x v="0"/>
    <x v="1"/>
    <x v="2"/>
    <x v="1"/>
  </r>
  <r>
    <x v="13"/>
    <x v="1"/>
    <x v="0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x v="1"/>
    <n v="12"/>
    <n v="3"/>
    <n v="3"/>
    <n v="1"/>
    <n v="14"/>
    <n v="3"/>
    <n v="3"/>
    <n v="7"/>
    <n v="3"/>
    <n v="5"/>
    <n v="7"/>
    <n v="0"/>
    <x v="2"/>
    <x v="1"/>
    <x v="0"/>
    <x v="2"/>
    <x v="1"/>
  </r>
  <r>
    <x v="21"/>
    <x v="1"/>
    <x v="0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x v="0"/>
    <n v="19"/>
    <n v="3"/>
    <n v="3"/>
    <n v="1"/>
    <n v="15"/>
    <n v="3"/>
    <n v="3"/>
    <n v="3"/>
    <n v="2"/>
    <n v="1"/>
    <n v="2"/>
    <n v="0"/>
    <x v="1"/>
    <x v="2"/>
    <x v="2"/>
    <x v="0"/>
    <x v="1"/>
  </r>
  <r>
    <x v="12"/>
    <x v="1"/>
    <x v="0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x v="1"/>
    <n v="25"/>
    <n v="4"/>
    <n v="4"/>
    <n v="1"/>
    <n v="13"/>
    <n v="6"/>
    <n v="4"/>
    <n v="13"/>
    <n v="8"/>
    <n v="0"/>
    <n v="8"/>
    <n v="0"/>
    <x v="2"/>
    <x v="3"/>
    <x v="3"/>
    <x v="1"/>
    <x v="3"/>
  </r>
  <r>
    <x v="3"/>
    <x v="0"/>
    <x v="0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x v="0"/>
    <n v="12"/>
    <n v="3"/>
    <n v="4"/>
    <n v="0"/>
    <n v="15"/>
    <n v="2"/>
    <n v="4"/>
    <n v="7"/>
    <n v="6"/>
    <n v="7"/>
    <n v="7"/>
    <n v="1"/>
    <x v="2"/>
    <x v="3"/>
    <x v="0"/>
    <x v="2"/>
    <x v="3"/>
  </r>
  <r>
    <x v="3"/>
    <x v="0"/>
    <x v="0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x v="1"/>
    <n v="13"/>
    <n v="3"/>
    <n v="1"/>
    <n v="3"/>
    <n v="8"/>
    <n v="2"/>
    <n v="3"/>
    <n v="4"/>
    <n v="3"/>
    <n v="1"/>
    <n v="3"/>
    <n v="1"/>
    <x v="2"/>
    <x v="0"/>
    <x v="2"/>
    <x v="0"/>
    <x v="1"/>
  </r>
  <r>
    <x v="7"/>
    <x v="1"/>
    <x v="0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x v="1"/>
    <n v="14"/>
    <n v="3"/>
    <n v="1"/>
    <n v="0"/>
    <n v="4"/>
    <n v="3"/>
    <n v="3"/>
    <n v="3"/>
    <n v="2"/>
    <n v="1"/>
    <n v="2"/>
    <n v="0"/>
    <x v="2"/>
    <x v="1"/>
    <x v="2"/>
    <x v="1"/>
    <x v="1"/>
  </r>
  <r>
    <x v="10"/>
    <x v="1"/>
    <x v="0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x v="0"/>
    <n v="12"/>
    <n v="3"/>
    <n v="3"/>
    <n v="0"/>
    <n v="10"/>
    <n v="2"/>
    <n v="3"/>
    <n v="8"/>
    <n v="7"/>
    <n v="0"/>
    <n v="0"/>
    <n v="0"/>
    <x v="2"/>
    <x v="2"/>
    <x v="0"/>
    <x v="2"/>
    <x v="1"/>
  </r>
  <r>
    <x v="12"/>
    <x v="0"/>
    <x v="1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x v="1"/>
    <n v="12"/>
    <n v="3"/>
    <n v="1"/>
    <n v="0"/>
    <n v="12"/>
    <n v="2"/>
    <n v="3"/>
    <n v="1"/>
    <n v="0"/>
    <n v="0"/>
    <n v="0"/>
    <n v="1"/>
    <x v="2"/>
    <x v="2"/>
    <x v="1"/>
    <x v="2"/>
    <x v="1"/>
  </r>
  <r>
    <x v="13"/>
    <x v="0"/>
    <x v="1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x v="0"/>
    <n v="15"/>
    <n v="3"/>
    <n v="3"/>
    <n v="3"/>
    <n v="11"/>
    <n v="2"/>
    <n v="3"/>
    <n v="3"/>
    <n v="2"/>
    <n v="0"/>
    <n v="2"/>
    <n v="1"/>
    <x v="2"/>
    <x v="2"/>
    <x v="2"/>
    <x v="3"/>
    <x v="1"/>
  </r>
  <r>
    <x v="19"/>
    <x v="1"/>
    <x v="1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x v="1"/>
    <n v="17"/>
    <n v="3"/>
    <n v="4"/>
    <n v="1"/>
    <n v="8"/>
    <n v="4"/>
    <n v="3"/>
    <n v="2"/>
    <n v="2"/>
    <n v="2"/>
    <n v="0"/>
    <n v="0"/>
    <x v="0"/>
    <x v="1"/>
    <x v="2"/>
    <x v="2"/>
    <x v="1"/>
  </r>
  <r>
    <x v="9"/>
    <x v="1"/>
    <x v="2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x v="1"/>
    <n v="14"/>
    <n v="3"/>
    <n v="4"/>
    <n v="0"/>
    <n v="10"/>
    <n v="3"/>
    <n v="2"/>
    <n v="10"/>
    <n v="3"/>
    <n v="9"/>
    <n v="7"/>
    <n v="0"/>
    <x v="0"/>
    <x v="2"/>
    <x v="0"/>
    <x v="0"/>
    <x v="2"/>
  </r>
  <r>
    <x v="15"/>
    <x v="0"/>
    <x v="1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x v="1"/>
    <n v="16"/>
    <n v="3"/>
    <n v="3"/>
    <n v="0"/>
    <n v="4"/>
    <n v="3"/>
    <n v="3"/>
    <n v="2"/>
    <n v="2"/>
    <n v="1"/>
    <n v="2"/>
    <n v="1"/>
    <x v="4"/>
    <x v="0"/>
    <x v="2"/>
    <x v="2"/>
    <x v="1"/>
  </r>
  <r>
    <x v="26"/>
    <x v="1"/>
    <x v="0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x v="1"/>
    <n v="14"/>
    <n v="3"/>
    <n v="1"/>
    <n v="1"/>
    <n v="14"/>
    <n v="2"/>
    <n v="3"/>
    <n v="9"/>
    <n v="7"/>
    <n v="6"/>
    <n v="7"/>
    <n v="0"/>
    <x v="1"/>
    <x v="0"/>
    <x v="0"/>
    <x v="0"/>
    <x v="1"/>
  </r>
  <r>
    <x v="27"/>
    <x v="1"/>
    <x v="0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x v="1"/>
    <n v="23"/>
    <n v="4"/>
    <n v="4"/>
    <n v="0"/>
    <n v="37"/>
    <n v="2"/>
    <n v="3"/>
    <n v="10"/>
    <n v="9"/>
    <n v="7"/>
    <n v="7"/>
    <n v="0"/>
    <x v="1"/>
    <x v="3"/>
    <x v="0"/>
    <x v="1"/>
    <x v="1"/>
  </r>
  <r>
    <x v="0"/>
    <x v="1"/>
    <x v="2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x v="1"/>
    <n v="14"/>
    <n v="3"/>
    <n v="4"/>
    <n v="0"/>
    <n v="16"/>
    <n v="3"/>
    <n v="3"/>
    <n v="14"/>
    <n v="3"/>
    <n v="1"/>
    <n v="10"/>
    <n v="0"/>
    <x v="0"/>
    <x v="2"/>
    <x v="3"/>
    <x v="0"/>
    <x v="1"/>
  </r>
  <r>
    <x v="10"/>
    <x v="1"/>
    <x v="0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x v="1"/>
    <n v="11"/>
    <n v="3"/>
    <n v="3"/>
    <n v="0"/>
    <n v="15"/>
    <n v="2"/>
    <n v="3"/>
    <n v="11"/>
    <n v="9"/>
    <n v="6"/>
    <n v="9"/>
    <n v="0"/>
    <x v="2"/>
    <x v="0"/>
    <x v="3"/>
    <x v="2"/>
    <x v="1"/>
  </r>
  <r>
    <x v="32"/>
    <x v="1"/>
    <x v="0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x v="1"/>
    <n v="15"/>
    <n v="3"/>
    <n v="3"/>
    <n v="0"/>
    <n v="22"/>
    <n v="3"/>
    <n v="3"/>
    <n v="20"/>
    <n v="6"/>
    <n v="5"/>
    <n v="13"/>
    <n v="0"/>
    <x v="0"/>
    <x v="3"/>
    <x v="3"/>
    <x v="2"/>
    <x v="1"/>
  </r>
  <r>
    <x v="22"/>
    <x v="1"/>
    <x v="1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x v="1"/>
    <n v="11"/>
    <n v="3"/>
    <n v="1"/>
    <n v="1"/>
    <n v="8"/>
    <n v="3"/>
    <n v="3"/>
    <n v="8"/>
    <n v="3"/>
    <n v="0"/>
    <n v="7"/>
    <n v="0"/>
    <x v="0"/>
    <x v="0"/>
    <x v="0"/>
    <x v="2"/>
    <x v="1"/>
  </r>
  <r>
    <x v="12"/>
    <x v="1"/>
    <x v="0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x v="0"/>
    <n v="13"/>
    <n v="3"/>
    <n v="3"/>
    <n v="0"/>
    <n v="10"/>
    <n v="2"/>
    <n v="4"/>
    <n v="6"/>
    <n v="5"/>
    <n v="0"/>
    <n v="5"/>
    <n v="0"/>
    <x v="2"/>
    <x v="2"/>
    <x v="0"/>
    <x v="0"/>
    <x v="3"/>
  </r>
  <r>
    <x v="19"/>
    <x v="1"/>
    <x v="0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x v="0"/>
    <n v="21"/>
    <n v="4"/>
    <n v="4"/>
    <n v="1"/>
    <n v="10"/>
    <n v="5"/>
    <n v="2"/>
    <n v="10"/>
    <n v="9"/>
    <n v="5"/>
    <n v="8"/>
    <n v="0"/>
    <x v="0"/>
    <x v="2"/>
    <x v="0"/>
    <x v="3"/>
    <x v="2"/>
  </r>
  <r>
    <x v="28"/>
    <x v="1"/>
    <x v="0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x v="1"/>
    <n v="19"/>
    <n v="3"/>
    <n v="2"/>
    <n v="1"/>
    <n v="9"/>
    <n v="3"/>
    <n v="4"/>
    <n v="8"/>
    <n v="7"/>
    <n v="3"/>
    <n v="7"/>
    <n v="0"/>
    <x v="0"/>
    <x v="0"/>
    <x v="0"/>
    <x v="1"/>
    <x v="3"/>
  </r>
  <r>
    <x v="25"/>
    <x v="0"/>
    <x v="1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x v="0"/>
    <n v="11"/>
    <n v="3"/>
    <n v="2"/>
    <n v="1"/>
    <n v="8"/>
    <n v="2"/>
    <n v="2"/>
    <n v="7"/>
    <n v="7"/>
    <n v="1"/>
    <n v="0"/>
    <n v="1"/>
    <x v="2"/>
    <x v="1"/>
    <x v="0"/>
    <x v="2"/>
    <x v="2"/>
  </r>
  <r>
    <x v="11"/>
    <x v="1"/>
    <x v="0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x v="1"/>
    <n v="12"/>
    <n v="3"/>
    <n v="2"/>
    <n v="2"/>
    <n v="8"/>
    <n v="2"/>
    <n v="4"/>
    <n v="3"/>
    <n v="2"/>
    <n v="1"/>
    <n v="2"/>
    <n v="0"/>
    <x v="2"/>
    <x v="0"/>
    <x v="2"/>
    <x v="0"/>
    <x v="3"/>
  </r>
  <r>
    <x v="3"/>
    <x v="1"/>
    <x v="0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x v="1"/>
    <n v="19"/>
    <n v="3"/>
    <n v="3"/>
    <n v="1"/>
    <n v="10"/>
    <n v="2"/>
    <n v="3"/>
    <n v="6"/>
    <n v="1"/>
    <n v="0"/>
    <n v="5"/>
    <n v="0"/>
    <x v="2"/>
    <x v="3"/>
    <x v="0"/>
    <x v="2"/>
    <x v="1"/>
  </r>
  <r>
    <x v="12"/>
    <x v="1"/>
    <x v="0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x v="1"/>
    <n v="21"/>
    <n v="4"/>
    <n v="3"/>
    <n v="1"/>
    <n v="10"/>
    <n v="3"/>
    <n v="2"/>
    <n v="5"/>
    <n v="4"/>
    <n v="0"/>
    <n v="1"/>
    <n v="0"/>
    <x v="2"/>
    <x v="3"/>
    <x v="2"/>
    <x v="0"/>
    <x v="2"/>
  </r>
  <r>
    <x v="41"/>
    <x v="0"/>
    <x v="1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x v="0"/>
    <n v="14"/>
    <n v="3"/>
    <n v="4"/>
    <n v="0"/>
    <n v="0"/>
    <n v="3"/>
    <n v="3"/>
    <n v="0"/>
    <n v="0"/>
    <n v="0"/>
    <n v="0"/>
    <n v="1"/>
    <x v="4"/>
    <x v="1"/>
    <x v="1"/>
    <x v="1"/>
    <x v="1"/>
  </r>
  <r>
    <x v="32"/>
    <x v="1"/>
    <x v="2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x v="1"/>
    <n v="15"/>
    <n v="3"/>
    <n v="3"/>
    <n v="1"/>
    <n v="20"/>
    <n v="2"/>
    <n v="3"/>
    <n v="1"/>
    <n v="0"/>
    <n v="0"/>
    <n v="1"/>
    <n v="0"/>
    <x v="0"/>
    <x v="3"/>
    <x v="1"/>
    <x v="3"/>
    <x v="1"/>
  </r>
  <r>
    <x v="0"/>
    <x v="1"/>
    <x v="2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x v="0"/>
    <n v="17"/>
    <n v="3"/>
    <n v="1"/>
    <n v="0"/>
    <n v="10"/>
    <n v="3"/>
    <n v="3"/>
    <n v="8"/>
    <n v="7"/>
    <n v="0"/>
    <n v="7"/>
    <n v="0"/>
    <x v="0"/>
    <x v="2"/>
    <x v="0"/>
    <x v="2"/>
    <x v="1"/>
  </r>
  <r>
    <x v="25"/>
    <x v="1"/>
    <x v="0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x v="1"/>
    <n v="12"/>
    <n v="3"/>
    <n v="1"/>
    <n v="2"/>
    <n v="8"/>
    <n v="5"/>
    <n v="3"/>
    <n v="0"/>
    <n v="0"/>
    <n v="0"/>
    <n v="0"/>
    <n v="0"/>
    <x v="2"/>
    <x v="0"/>
    <x v="1"/>
    <x v="2"/>
    <x v="1"/>
  </r>
  <r>
    <x v="10"/>
    <x v="1"/>
    <x v="0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x v="1"/>
    <n v="16"/>
    <n v="3"/>
    <n v="4"/>
    <n v="0"/>
    <n v="5"/>
    <n v="3"/>
    <n v="3"/>
    <n v="5"/>
    <n v="4"/>
    <n v="0"/>
    <n v="3"/>
    <n v="0"/>
    <x v="2"/>
    <x v="0"/>
    <x v="2"/>
    <x v="2"/>
    <x v="1"/>
  </r>
  <r>
    <x v="13"/>
    <x v="1"/>
    <x v="0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x v="1"/>
    <n v="12"/>
    <n v="3"/>
    <n v="4"/>
    <n v="0"/>
    <n v="10"/>
    <n v="3"/>
    <n v="3"/>
    <n v="10"/>
    <n v="7"/>
    <n v="5"/>
    <n v="7"/>
    <n v="0"/>
    <x v="2"/>
    <x v="0"/>
    <x v="0"/>
    <x v="0"/>
    <x v="1"/>
  </r>
  <r>
    <x v="25"/>
    <x v="0"/>
    <x v="0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x v="0"/>
    <n v="18"/>
    <n v="3"/>
    <n v="2"/>
    <n v="0"/>
    <n v="1"/>
    <n v="3"/>
    <n v="1"/>
    <n v="1"/>
    <n v="0"/>
    <n v="0"/>
    <n v="0"/>
    <n v="1"/>
    <x v="2"/>
    <x v="1"/>
    <x v="1"/>
    <x v="0"/>
    <x v="0"/>
  </r>
  <r>
    <x v="2"/>
    <x v="1"/>
    <x v="0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x v="1"/>
    <n v="17"/>
    <n v="3"/>
    <n v="4"/>
    <n v="0"/>
    <n v="12"/>
    <n v="3"/>
    <n v="4"/>
    <n v="6"/>
    <n v="5"/>
    <n v="1"/>
    <n v="2"/>
    <n v="0"/>
    <x v="0"/>
    <x v="2"/>
    <x v="0"/>
    <x v="0"/>
    <x v="3"/>
  </r>
  <r>
    <x v="21"/>
    <x v="1"/>
    <x v="1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x v="1"/>
    <n v="11"/>
    <n v="3"/>
    <n v="4"/>
    <n v="0"/>
    <n v="28"/>
    <n v="3"/>
    <n v="2"/>
    <n v="2"/>
    <n v="2"/>
    <n v="1"/>
    <n v="2"/>
    <n v="0"/>
    <x v="1"/>
    <x v="3"/>
    <x v="2"/>
    <x v="2"/>
    <x v="2"/>
  </r>
  <r>
    <x v="0"/>
    <x v="1"/>
    <x v="0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x v="1"/>
    <n v="16"/>
    <n v="3"/>
    <n v="2"/>
    <n v="1"/>
    <n v="22"/>
    <n v="2"/>
    <n v="3"/>
    <n v="18"/>
    <n v="16"/>
    <n v="11"/>
    <n v="8"/>
    <n v="0"/>
    <x v="0"/>
    <x v="3"/>
    <x v="3"/>
    <x v="3"/>
    <x v="1"/>
  </r>
  <r>
    <x v="2"/>
    <x v="1"/>
    <x v="2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x v="1"/>
    <n v="13"/>
    <n v="3"/>
    <n v="4"/>
    <n v="1"/>
    <n v="9"/>
    <n v="6"/>
    <n v="3"/>
    <n v="9"/>
    <n v="5"/>
    <n v="7"/>
    <n v="7"/>
    <n v="0"/>
    <x v="0"/>
    <x v="2"/>
    <x v="0"/>
    <x v="1"/>
    <x v="1"/>
  </r>
  <r>
    <x v="39"/>
    <x v="1"/>
    <x v="0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x v="0"/>
    <n v="12"/>
    <n v="3"/>
    <n v="2"/>
    <n v="2"/>
    <n v="18"/>
    <n v="3"/>
    <n v="3"/>
    <n v="10"/>
    <n v="9"/>
    <n v="6"/>
    <n v="9"/>
    <n v="0"/>
    <x v="1"/>
    <x v="0"/>
    <x v="0"/>
    <x v="3"/>
    <x v="1"/>
  </r>
  <r>
    <x v="5"/>
    <x v="0"/>
    <x v="2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x v="1"/>
    <n v="12"/>
    <n v="3"/>
    <n v="4"/>
    <n v="0"/>
    <n v="6"/>
    <n v="2"/>
    <n v="3"/>
    <n v="4"/>
    <n v="2"/>
    <n v="1"/>
    <n v="2"/>
    <n v="1"/>
    <x v="2"/>
    <x v="0"/>
    <x v="2"/>
    <x v="2"/>
    <x v="1"/>
  </r>
  <r>
    <x v="17"/>
    <x v="1"/>
    <x v="1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x v="1"/>
    <n v="13"/>
    <n v="3"/>
    <n v="3"/>
    <n v="2"/>
    <n v="3"/>
    <n v="3"/>
    <n v="3"/>
    <n v="2"/>
    <n v="2"/>
    <n v="2"/>
    <n v="1"/>
    <n v="0"/>
    <x v="4"/>
    <x v="1"/>
    <x v="2"/>
    <x v="0"/>
    <x v="1"/>
  </r>
  <r>
    <x v="8"/>
    <x v="1"/>
    <x v="0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x v="1"/>
    <n v="19"/>
    <n v="3"/>
    <n v="3"/>
    <n v="1"/>
    <n v="18"/>
    <n v="4"/>
    <n v="3"/>
    <n v="1"/>
    <n v="0"/>
    <n v="0"/>
    <n v="0"/>
    <n v="0"/>
    <x v="0"/>
    <x v="2"/>
    <x v="1"/>
    <x v="2"/>
    <x v="1"/>
  </r>
  <r>
    <x v="2"/>
    <x v="1"/>
    <x v="0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x v="1"/>
    <n v="12"/>
    <n v="3"/>
    <n v="2"/>
    <n v="1"/>
    <n v="8"/>
    <n v="2"/>
    <n v="2"/>
    <n v="6"/>
    <n v="5"/>
    <n v="4"/>
    <n v="3"/>
    <n v="0"/>
    <x v="0"/>
    <x v="2"/>
    <x v="0"/>
    <x v="1"/>
    <x v="2"/>
  </r>
  <r>
    <x v="1"/>
    <x v="1"/>
    <x v="0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x v="0"/>
    <n v="17"/>
    <n v="3"/>
    <n v="3"/>
    <n v="1"/>
    <n v="31"/>
    <n v="5"/>
    <n v="3"/>
    <n v="31"/>
    <n v="9"/>
    <n v="0"/>
    <n v="9"/>
    <n v="0"/>
    <x v="1"/>
    <x v="3"/>
    <x v="3"/>
    <x v="2"/>
    <x v="1"/>
  </r>
  <r>
    <x v="17"/>
    <x v="1"/>
    <x v="0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x v="0"/>
    <n v="11"/>
    <n v="3"/>
    <n v="2"/>
    <n v="2"/>
    <n v="6"/>
    <n v="3"/>
    <n v="3"/>
    <n v="6"/>
    <n v="5"/>
    <n v="1"/>
    <n v="4"/>
    <n v="0"/>
    <x v="4"/>
    <x v="1"/>
    <x v="0"/>
    <x v="0"/>
    <x v="1"/>
  </r>
  <r>
    <x v="25"/>
    <x v="1"/>
    <x v="0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x v="1"/>
    <n v="20"/>
    <n v="4"/>
    <n v="4"/>
    <n v="2"/>
    <n v="6"/>
    <n v="5"/>
    <n v="4"/>
    <n v="5"/>
    <n v="3"/>
    <n v="1"/>
    <n v="4"/>
    <n v="0"/>
    <x v="2"/>
    <x v="2"/>
    <x v="2"/>
    <x v="1"/>
    <x v="3"/>
  </r>
  <r>
    <x v="17"/>
    <x v="1"/>
    <x v="0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x v="1"/>
    <n v="21"/>
    <n v="4"/>
    <n v="4"/>
    <n v="1"/>
    <n v="1"/>
    <n v="2"/>
    <n v="3"/>
    <n v="1"/>
    <n v="0"/>
    <n v="0"/>
    <n v="0"/>
    <n v="0"/>
    <x v="4"/>
    <x v="1"/>
    <x v="1"/>
    <x v="1"/>
    <x v="1"/>
  </r>
  <r>
    <x v="24"/>
    <x v="1"/>
    <x v="1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x v="1"/>
    <n v="11"/>
    <n v="3"/>
    <n v="3"/>
    <n v="1"/>
    <n v="32"/>
    <n v="2"/>
    <n v="3"/>
    <n v="32"/>
    <n v="5"/>
    <n v="10"/>
    <n v="7"/>
    <n v="0"/>
    <x v="1"/>
    <x v="3"/>
    <x v="3"/>
    <x v="1"/>
    <x v="1"/>
  </r>
  <r>
    <x v="36"/>
    <x v="1"/>
    <x v="0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x v="1"/>
    <n v="11"/>
    <n v="3"/>
    <n v="3"/>
    <n v="0"/>
    <n v="7"/>
    <n v="1"/>
    <n v="3"/>
    <n v="7"/>
    <n v="4"/>
    <n v="0"/>
    <n v="6"/>
    <n v="0"/>
    <x v="4"/>
    <x v="1"/>
    <x v="0"/>
    <x v="2"/>
    <x v="1"/>
  </r>
  <r>
    <x v="17"/>
    <x v="0"/>
    <x v="1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x v="0"/>
    <n v="16"/>
    <n v="3"/>
    <n v="4"/>
    <n v="1"/>
    <n v="6"/>
    <n v="4"/>
    <n v="3"/>
    <n v="6"/>
    <n v="3"/>
    <n v="1"/>
    <n v="2"/>
    <n v="1"/>
    <x v="4"/>
    <x v="1"/>
    <x v="0"/>
    <x v="2"/>
    <x v="1"/>
  </r>
  <r>
    <x v="7"/>
    <x v="0"/>
    <x v="1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x v="1"/>
    <n v="18"/>
    <n v="3"/>
    <n v="3"/>
    <n v="1"/>
    <n v="1"/>
    <n v="2"/>
    <n v="4"/>
    <n v="1"/>
    <n v="0"/>
    <n v="0"/>
    <n v="0"/>
    <n v="1"/>
    <x v="2"/>
    <x v="1"/>
    <x v="1"/>
    <x v="3"/>
    <x v="3"/>
  </r>
  <r>
    <x v="13"/>
    <x v="1"/>
    <x v="0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x v="0"/>
    <n v="13"/>
    <n v="3"/>
    <n v="4"/>
    <n v="1"/>
    <n v="6"/>
    <n v="3"/>
    <n v="3"/>
    <n v="6"/>
    <n v="5"/>
    <n v="1"/>
    <n v="3"/>
    <n v="0"/>
    <x v="2"/>
    <x v="0"/>
    <x v="0"/>
    <x v="0"/>
    <x v="1"/>
  </r>
  <r>
    <x v="12"/>
    <x v="0"/>
    <x v="0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x v="1"/>
    <n v="17"/>
    <n v="3"/>
    <n v="3"/>
    <n v="0"/>
    <n v="9"/>
    <n v="2"/>
    <n v="1"/>
    <n v="3"/>
    <n v="1"/>
    <n v="1"/>
    <n v="2"/>
    <n v="1"/>
    <x v="2"/>
    <x v="0"/>
    <x v="2"/>
    <x v="3"/>
    <x v="0"/>
  </r>
  <r>
    <x v="10"/>
    <x v="1"/>
    <x v="0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x v="1"/>
    <n v="14"/>
    <n v="3"/>
    <n v="4"/>
    <n v="0"/>
    <n v="9"/>
    <n v="3"/>
    <n v="3"/>
    <n v="3"/>
    <n v="2"/>
    <n v="0"/>
    <n v="2"/>
    <n v="0"/>
    <x v="2"/>
    <x v="0"/>
    <x v="2"/>
    <x v="0"/>
    <x v="1"/>
  </r>
  <r>
    <x v="12"/>
    <x v="1"/>
    <x v="0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x v="1"/>
    <n v="22"/>
    <n v="4"/>
    <n v="4"/>
    <n v="2"/>
    <n v="13"/>
    <n v="4"/>
    <n v="4"/>
    <n v="7"/>
    <n v="7"/>
    <n v="5"/>
    <n v="7"/>
    <n v="0"/>
    <x v="2"/>
    <x v="0"/>
    <x v="0"/>
    <x v="0"/>
    <x v="3"/>
  </r>
  <r>
    <x v="4"/>
    <x v="1"/>
    <x v="0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x v="1"/>
    <n v="12"/>
    <n v="3"/>
    <n v="3"/>
    <n v="2"/>
    <n v="6"/>
    <n v="5"/>
    <n v="2"/>
    <n v="5"/>
    <n v="3"/>
    <n v="0"/>
    <n v="3"/>
    <n v="0"/>
    <x v="2"/>
    <x v="1"/>
    <x v="2"/>
    <x v="2"/>
    <x v="2"/>
  </r>
  <r>
    <x v="2"/>
    <x v="1"/>
    <x v="0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x v="0"/>
    <n v="11"/>
    <n v="3"/>
    <n v="3"/>
    <n v="1"/>
    <n v="17"/>
    <n v="3"/>
    <n v="2"/>
    <n v="3"/>
    <n v="0"/>
    <n v="1"/>
    <n v="0"/>
    <n v="0"/>
    <x v="0"/>
    <x v="2"/>
    <x v="2"/>
    <x v="2"/>
    <x v="2"/>
  </r>
  <r>
    <x v="35"/>
    <x v="1"/>
    <x v="0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x v="1"/>
    <n v="13"/>
    <n v="3"/>
    <n v="4"/>
    <n v="0"/>
    <n v="1"/>
    <n v="0"/>
    <n v="4"/>
    <n v="1"/>
    <n v="0"/>
    <n v="0"/>
    <n v="0"/>
    <n v="0"/>
    <x v="4"/>
    <x v="1"/>
    <x v="1"/>
    <x v="1"/>
    <x v="3"/>
  </r>
  <r>
    <x v="19"/>
    <x v="1"/>
    <x v="0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x v="1"/>
    <n v="13"/>
    <n v="3"/>
    <n v="2"/>
    <n v="2"/>
    <n v="10"/>
    <n v="4"/>
    <n v="3"/>
    <n v="10"/>
    <n v="2"/>
    <n v="2"/>
    <n v="2"/>
    <n v="0"/>
    <x v="0"/>
    <x v="0"/>
    <x v="0"/>
    <x v="0"/>
    <x v="1"/>
  </r>
  <r>
    <x v="23"/>
    <x v="1"/>
    <x v="0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x v="0"/>
    <n v="14"/>
    <n v="3"/>
    <n v="3"/>
    <n v="1"/>
    <n v="21"/>
    <n v="3"/>
    <n v="2"/>
    <n v="1"/>
    <n v="0"/>
    <n v="0"/>
    <n v="0"/>
    <n v="0"/>
    <x v="0"/>
    <x v="3"/>
    <x v="1"/>
    <x v="0"/>
    <x v="2"/>
  </r>
  <r>
    <x v="8"/>
    <x v="1"/>
    <x v="0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x v="1"/>
    <n v="17"/>
    <n v="3"/>
    <n v="4"/>
    <n v="0"/>
    <n v="8"/>
    <n v="3"/>
    <n v="2"/>
    <n v="0"/>
    <n v="0"/>
    <n v="0"/>
    <n v="0"/>
    <n v="0"/>
    <x v="0"/>
    <x v="1"/>
    <x v="1"/>
    <x v="3"/>
    <x v="2"/>
  </r>
  <r>
    <x v="23"/>
    <x v="1"/>
    <x v="1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x v="0"/>
    <n v="13"/>
    <n v="3"/>
    <n v="2"/>
    <n v="1"/>
    <n v="10"/>
    <n v="3"/>
    <n v="3"/>
    <n v="8"/>
    <n v="7"/>
    <n v="4"/>
    <n v="7"/>
    <n v="0"/>
    <x v="0"/>
    <x v="0"/>
    <x v="0"/>
    <x v="2"/>
    <x v="1"/>
  </r>
  <r>
    <x v="26"/>
    <x v="1"/>
    <x v="0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x v="1"/>
    <n v="11"/>
    <n v="3"/>
    <n v="1"/>
    <n v="1"/>
    <n v="21"/>
    <n v="3"/>
    <n v="1"/>
    <n v="3"/>
    <n v="2"/>
    <n v="0"/>
    <n v="2"/>
    <n v="0"/>
    <x v="1"/>
    <x v="3"/>
    <x v="2"/>
    <x v="3"/>
    <x v="0"/>
  </r>
  <r>
    <x v="20"/>
    <x v="1"/>
    <x v="0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x v="1"/>
    <n v="11"/>
    <n v="3"/>
    <n v="2"/>
    <n v="0"/>
    <n v="10"/>
    <n v="1"/>
    <n v="4"/>
    <n v="2"/>
    <n v="2"/>
    <n v="0"/>
    <n v="2"/>
    <n v="0"/>
    <x v="0"/>
    <x v="0"/>
    <x v="2"/>
    <x v="2"/>
    <x v="3"/>
  </r>
  <r>
    <x v="13"/>
    <x v="1"/>
    <x v="0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x v="0"/>
    <n v="18"/>
    <n v="3"/>
    <n v="4"/>
    <n v="2"/>
    <n v="8"/>
    <n v="3"/>
    <n v="3"/>
    <n v="8"/>
    <n v="2"/>
    <n v="0"/>
    <n v="6"/>
    <n v="0"/>
    <x v="2"/>
    <x v="1"/>
    <x v="0"/>
    <x v="2"/>
    <x v="1"/>
  </r>
  <r>
    <x v="4"/>
    <x v="0"/>
    <x v="0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x v="1"/>
    <n v="11"/>
    <n v="3"/>
    <n v="2"/>
    <n v="1"/>
    <n v="5"/>
    <n v="3"/>
    <n v="3"/>
    <n v="4"/>
    <n v="3"/>
    <n v="0"/>
    <n v="2"/>
    <n v="1"/>
    <x v="2"/>
    <x v="0"/>
    <x v="2"/>
    <x v="3"/>
    <x v="1"/>
  </r>
  <r>
    <x v="18"/>
    <x v="1"/>
    <x v="0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x v="1"/>
    <n v="11"/>
    <n v="3"/>
    <n v="3"/>
    <n v="0"/>
    <n v="3"/>
    <n v="2"/>
    <n v="3"/>
    <n v="3"/>
    <n v="2"/>
    <n v="1"/>
    <n v="2"/>
    <n v="0"/>
    <x v="4"/>
    <x v="0"/>
    <x v="2"/>
    <x v="2"/>
    <x v="1"/>
  </r>
  <r>
    <x v="20"/>
    <x v="1"/>
    <x v="0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x v="0"/>
    <n v="12"/>
    <n v="3"/>
    <n v="1"/>
    <n v="1"/>
    <n v="26"/>
    <n v="2"/>
    <n v="4"/>
    <n v="2"/>
    <n v="2"/>
    <n v="0"/>
    <n v="1"/>
    <n v="0"/>
    <x v="0"/>
    <x v="3"/>
    <x v="2"/>
    <x v="0"/>
    <x v="3"/>
  </r>
  <r>
    <x v="15"/>
    <x v="1"/>
    <x v="0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x v="1"/>
    <n v="20"/>
    <n v="4"/>
    <n v="4"/>
    <n v="0"/>
    <n v="3"/>
    <n v="3"/>
    <n v="3"/>
    <n v="2"/>
    <n v="2"/>
    <n v="2"/>
    <n v="2"/>
    <n v="0"/>
    <x v="4"/>
    <x v="1"/>
    <x v="2"/>
    <x v="2"/>
    <x v="1"/>
  </r>
  <r>
    <x v="3"/>
    <x v="1"/>
    <x v="0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x v="1"/>
    <n v="12"/>
    <n v="3"/>
    <n v="4"/>
    <n v="0"/>
    <n v="6"/>
    <n v="3"/>
    <n v="3"/>
    <n v="5"/>
    <n v="0"/>
    <n v="1"/>
    <n v="2"/>
    <n v="0"/>
    <x v="2"/>
    <x v="2"/>
    <x v="2"/>
    <x v="2"/>
    <x v="1"/>
  </r>
  <r>
    <x v="5"/>
    <x v="1"/>
    <x v="0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x v="0"/>
    <n v="12"/>
    <n v="3"/>
    <n v="4"/>
    <n v="1"/>
    <n v="6"/>
    <n v="2"/>
    <n v="2"/>
    <n v="6"/>
    <n v="4"/>
    <n v="0"/>
    <n v="5"/>
    <n v="0"/>
    <x v="2"/>
    <x v="2"/>
    <x v="0"/>
    <x v="0"/>
    <x v="2"/>
  </r>
  <r>
    <x v="7"/>
    <x v="1"/>
    <x v="1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x v="1"/>
    <n v="20"/>
    <n v="4"/>
    <n v="3"/>
    <n v="1"/>
    <n v="1"/>
    <n v="2"/>
    <n v="3"/>
    <n v="1"/>
    <n v="0"/>
    <n v="0"/>
    <n v="0"/>
    <n v="0"/>
    <x v="2"/>
    <x v="1"/>
    <x v="1"/>
    <x v="2"/>
    <x v="1"/>
  </r>
  <r>
    <x v="16"/>
    <x v="1"/>
    <x v="0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x v="1"/>
    <n v="20"/>
    <n v="4"/>
    <n v="4"/>
    <n v="0"/>
    <n v="18"/>
    <n v="2"/>
    <n v="4"/>
    <n v="14"/>
    <n v="7"/>
    <n v="8"/>
    <n v="10"/>
    <n v="0"/>
    <x v="1"/>
    <x v="2"/>
    <x v="3"/>
    <x v="3"/>
    <x v="3"/>
  </r>
  <r>
    <x v="13"/>
    <x v="1"/>
    <x v="0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x v="1"/>
    <n v="12"/>
    <n v="3"/>
    <n v="4"/>
    <n v="1"/>
    <n v="10"/>
    <n v="4"/>
    <n v="2"/>
    <n v="10"/>
    <n v="9"/>
    <n v="8"/>
    <n v="8"/>
    <n v="0"/>
    <x v="2"/>
    <x v="1"/>
    <x v="0"/>
    <x v="0"/>
    <x v="2"/>
  </r>
  <r>
    <x v="28"/>
    <x v="0"/>
    <x v="1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x v="1"/>
    <n v="14"/>
    <n v="3"/>
    <n v="4"/>
    <n v="2"/>
    <n v="5"/>
    <n v="4"/>
    <n v="3"/>
    <n v="1"/>
    <n v="1"/>
    <n v="0"/>
    <n v="0"/>
    <n v="1"/>
    <x v="0"/>
    <x v="0"/>
    <x v="1"/>
    <x v="3"/>
    <x v="1"/>
  </r>
  <r>
    <x v="25"/>
    <x v="1"/>
    <x v="0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x v="0"/>
    <n v="13"/>
    <n v="3"/>
    <n v="3"/>
    <n v="1"/>
    <n v="3"/>
    <n v="2"/>
    <n v="3"/>
    <n v="3"/>
    <n v="2"/>
    <n v="0"/>
    <n v="2"/>
    <n v="0"/>
    <x v="2"/>
    <x v="1"/>
    <x v="2"/>
    <x v="0"/>
    <x v="1"/>
  </r>
  <r>
    <x v="2"/>
    <x v="1"/>
    <x v="0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x v="1"/>
    <n v="15"/>
    <n v="3"/>
    <n v="3"/>
    <n v="1"/>
    <n v="10"/>
    <n v="2"/>
    <n v="3"/>
    <n v="10"/>
    <n v="7"/>
    <n v="7"/>
    <n v="8"/>
    <n v="0"/>
    <x v="0"/>
    <x v="2"/>
    <x v="0"/>
    <x v="2"/>
    <x v="1"/>
  </r>
  <r>
    <x v="11"/>
    <x v="1"/>
    <x v="0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x v="1"/>
    <n v="14"/>
    <n v="3"/>
    <n v="1"/>
    <n v="1"/>
    <n v="6"/>
    <n v="5"/>
    <n v="2"/>
    <n v="6"/>
    <n v="0"/>
    <n v="1"/>
    <n v="2"/>
    <n v="0"/>
    <x v="2"/>
    <x v="0"/>
    <x v="0"/>
    <x v="2"/>
    <x v="2"/>
  </r>
  <r>
    <x v="10"/>
    <x v="1"/>
    <x v="0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x v="1"/>
    <n v="13"/>
    <n v="3"/>
    <n v="2"/>
    <n v="0"/>
    <n v="17"/>
    <n v="3"/>
    <n v="3"/>
    <n v="17"/>
    <n v="11"/>
    <n v="11"/>
    <n v="8"/>
    <n v="0"/>
    <x v="2"/>
    <x v="2"/>
    <x v="3"/>
    <x v="0"/>
    <x v="1"/>
  </r>
  <r>
    <x v="3"/>
    <x v="1"/>
    <x v="1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x v="1"/>
    <n v="23"/>
    <n v="4"/>
    <n v="3"/>
    <n v="1"/>
    <n v="15"/>
    <n v="2"/>
    <n v="1"/>
    <n v="13"/>
    <n v="11"/>
    <n v="4"/>
    <n v="7"/>
    <n v="0"/>
    <x v="2"/>
    <x v="2"/>
    <x v="3"/>
    <x v="0"/>
    <x v="0"/>
  </r>
  <r>
    <x v="33"/>
    <x v="1"/>
    <x v="0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x v="1"/>
    <n v="15"/>
    <n v="3"/>
    <n v="3"/>
    <n v="1"/>
    <n v="16"/>
    <n v="1"/>
    <n v="4"/>
    <n v="9"/>
    <n v="7"/>
    <n v="7"/>
    <n v="1"/>
    <n v="0"/>
    <x v="1"/>
    <x v="3"/>
    <x v="0"/>
    <x v="1"/>
    <x v="3"/>
  </r>
  <r>
    <x v="9"/>
    <x v="1"/>
    <x v="0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x v="0"/>
    <n v="11"/>
    <n v="3"/>
    <n v="3"/>
    <n v="1"/>
    <n v="13"/>
    <n v="2"/>
    <n v="3"/>
    <n v="3"/>
    <n v="2"/>
    <n v="0"/>
    <n v="2"/>
    <n v="0"/>
    <x v="0"/>
    <x v="2"/>
    <x v="2"/>
    <x v="1"/>
    <x v="1"/>
  </r>
  <r>
    <x v="4"/>
    <x v="1"/>
    <x v="0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x v="1"/>
    <n v="13"/>
    <n v="3"/>
    <n v="4"/>
    <n v="0"/>
    <n v="5"/>
    <n v="0"/>
    <n v="3"/>
    <n v="4"/>
    <n v="2"/>
    <n v="1"/>
    <n v="1"/>
    <n v="0"/>
    <x v="2"/>
    <x v="1"/>
    <x v="2"/>
    <x v="0"/>
    <x v="1"/>
  </r>
  <r>
    <x v="35"/>
    <x v="0"/>
    <x v="0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x v="0"/>
    <n v="11"/>
    <n v="3"/>
    <n v="4"/>
    <n v="0"/>
    <n v="1"/>
    <n v="5"/>
    <n v="3"/>
    <n v="1"/>
    <n v="0"/>
    <n v="1"/>
    <n v="1"/>
    <n v="1"/>
    <x v="4"/>
    <x v="1"/>
    <x v="1"/>
    <x v="2"/>
    <x v="1"/>
  </r>
  <r>
    <x v="3"/>
    <x v="0"/>
    <x v="1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x v="0"/>
    <n v="11"/>
    <n v="3"/>
    <n v="1"/>
    <n v="0"/>
    <n v="10"/>
    <n v="3"/>
    <n v="3"/>
    <n v="10"/>
    <n v="8"/>
    <n v="9"/>
    <n v="7"/>
    <n v="1"/>
    <x v="2"/>
    <x v="0"/>
    <x v="0"/>
    <x v="3"/>
    <x v="1"/>
  </r>
  <r>
    <x v="10"/>
    <x v="1"/>
    <x v="2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x v="1"/>
    <n v="18"/>
    <n v="3"/>
    <n v="3"/>
    <n v="2"/>
    <n v="1"/>
    <n v="3"/>
    <n v="3"/>
    <n v="1"/>
    <n v="0"/>
    <n v="0"/>
    <n v="0"/>
    <n v="0"/>
    <x v="2"/>
    <x v="1"/>
    <x v="1"/>
    <x v="2"/>
    <x v="1"/>
  </r>
  <r>
    <x v="30"/>
    <x v="1"/>
    <x v="0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x v="1"/>
    <n v="16"/>
    <n v="3"/>
    <n v="1"/>
    <n v="1"/>
    <n v="5"/>
    <n v="3"/>
    <n v="4"/>
    <n v="3"/>
    <n v="2"/>
    <n v="0"/>
    <n v="2"/>
    <n v="0"/>
    <x v="4"/>
    <x v="1"/>
    <x v="2"/>
    <x v="3"/>
    <x v="3"/>
  </r>
  <r>
    <x v="36"/>
    <x v="1"/>
    <x v="0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x v="1"/>
    <n v="22"/>
    <n v="4"/>
    <n v="3"/>
    <n v="1"/>
    <n v="4"/>
    <n v="4"/>
    <n v="3"/>
    <n v="3"/>
    <n v="2"/>
    <n v="1"/>
    <n v="2"/>
    <n v="0"/>
    <x v="4"/>
    <x v="0"/>
    <x v="2"/>
    <x v="1"/>
    <x v="1"/>
  </r>
  <r>
    <x v="8"/>
    <x v="1"/>
    <x v="0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x v="1"/>
    <n v="20"/>
    <n v="4"/>
    <n v="1"/>
    <n v="0"/>
    <n v="8"/>
    <n v="2"/>
    <n v="3"/>
    <n v="7"/>
    <n v="7"/>
    <n v="0"/>
    <n v="5"/>
    <n v="0"/>
    <x v="0"/>
    <x v="0"/>
    <x v="0"/>
    <x v="0"/>
    <x v="1"/>
  </r>
  <r>
    <x v="11"/>
    <x v="1"/>
    <x v="1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x v="1"/>
    <n v="18"/>
    <n v="3"/>
    <n v="4"/>
    <n v="1"/>
    <n v="10"/>
    <n v="5"/>
    <n v="3"/>
    <n v="10"/>
    <n v="7"/>
    <n v="2"/>
    <n v="8"/>
    <n v="0"/>
    <x v="2"/>
    <x v="1"/>
    <x v="0"/>
    <x v="0"/>
    <x v="1"/>
  </r>
  <r>
    <x v="26"/>
    <x v="1"/>
    <x v="0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x v="1"/>
    <n v="12"/>
    <n v="3"/>
    <n v="4"/>
    <n v="0"/>
    <n v="12"/>
    <n v="3"/>
    <n v="3"/>
    <n v="2"/>
    <n v="2"/>
    <n v="2"/>
    <n v="2"/>
    <n v="0"/>
    <x v="1"/>
    <x v="2"/>
    <x v="2"/>
    <x v="1"/>
    <x v="1"/>
  </r>
  <r>
    <x v="4"/>
    <x v="1"/>
    <x v="1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x v="0"/>
    <n v="20"/>
    <n v="4"/>
    <n v="2"/>
    <n v="2"/>
    <n v="6"/>
    <n v="3"/>
    <n v="3"/>
    <n v="6"/>
    <n v="5"/>
    <n v="0"/>
    <n v="4"/>
    <n v="0"/>
    <x v="2"/>
    <x v="0"/>
    <x v="0"/>
    <x v="0"/>
    <x v="1"/>
  </r>
  <r>
    <x v="2"/>
    <x v="1"/>
    <x v="0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x v="1"/>
    <n v="17"/>
    <n v="3"/>
    <n v="1"/>
    <n v="0"/>
    <n v="4"/>
    <n v="2"/>
    <n v="3"/>
    <n v="1"/>
    <n v="0"/>
    <n v="0"/>
    <n v="0"/>
    <n v="0"/>
    <x v="0"/>
    <x v="0"/>
    <x v="1"/>
    <x v="0"/>
    <x v="1"/>
  </r>
  <r>
    <x v="24"/>
    <x v="1"/>
    <x v="0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x v="0"/>
    <n v="11"/>
    <n v="3"/>
    <n v="3"/>
    <n v="3"/>
    <n v="20"/>
    <n v="3"/>
    <n v="3"/>
    <n v="20"/>
    <n v="8"/>
    <n v="3"/>
    <n v="8"/>
    <n v="0"/>
    <x v="1"/>
    <x v="0"/>
    <x v="3"/>
    <x v="2"/>
    <x v="1"/>
  </r>
  <r>
    <x v="13"/>
    <x v="1"/>
    <x v="0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x v="1"/>
    <n v="14"/>
    <n v="3"/>
    <n v="2"/>
    <n v="0"/>
    <n v="9"/>
    <n v="3"/>
    <n v="4"/>
    <n v="8"/>
    <n v="7"/>
    <n v="7"/>
    <n v="7"/>
    <n v="0"/>
    <x v="2"/>
    <x v="2"/>
    <x v="0"/>
    <x v="1"/>
    <x v="3"/>
  </r>
  <r>
    <x v="17"/>
    <x v="0"/>
    <x v="0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x v="1"/>
    <n v="14"/>
    <n v="3"/>
    <n v="1"/>
    <n v="0"/>
    <n v="4"/>
    <n v="3"/>
    <n v="3"/>
    <n v="2"/>
    <n v="2"/>
    <n v="2"/>
    <n v="0"/>
    <n v="1"/>
    <x v="4"/>
    <x v="0"/>
    <x v="2"/>
    <x v="2"/>
    <x v="1"/>
  </r>
  <r>
    <x v="22"/>
    <x v="1"/>
    <x v="0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x v="1"/>
    <n v="11"/>
    <n v="3"/>
    <n v="1"/>
    <n v="0"/>
    <n v="20"/>
    <n v="4"/>
    <n v="3"/>
    <n v="20"/>
    <n v="7"/>
    <n v="11"/>
    <n v="10"/>
    <n v="0"/>
    <x v="0"/>
    <x v="0"/>
    <x v="3"/>
    <x v="2"/>
    <x v="1"/>
  </r>
  <r>
    <x v="5"/>
    <x v="1"/>
    <x v="0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x v="1"/>
    <n v="12"/>
    <n v="3"/>
    <n v="4"/>
    <n v="0"/>
    <n v="10"/>
    <n v="2"/>
    <n v="2"/>
    <n v="10"/>
    <n v="7"/>
    <n v="0"/>
    <n v="8"/>
    <n v="0"/>
    <x v="2"/>
    <x v="0"/>
    <x v="0"/>
    <x v="0"/>
    <x v="2"/>
  </r>
  <r>
    <x v="24"/>
    <x v="0"/>
    <x v="1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x v="0"/>
    <n v="14"/>
    <n v="3"/>
    <n v="1"/>
    <n v="1"/>
    <n v="18"/>
    <n v="4"/>
    <n v="3"/>
    <n v="4"/>
    <n v="3"/>
    <n v="1"/>
    <n v="3"/>
    <n v="1"/>
    <x v="1"/>
    <x v="2"/>
    <x v="2"/>
    <x v="2"/>
    <x v="1"/>
  </r>
  <r>
    <x v="8"/>
    <x v="1"/>
    <x v="0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x v="1"/>
    <n v="13"/>
    <n v="3"/>
    <n v="3"/>
    <n v="0"/>
    <n v="10"/>
    <n v="4"/>
    <n v="2"/>
    <n v="9"/>
    <n v="7"/>
    <n v="1"/>
    <n v="8"/>
    <n v="0"/>
    <x v="0"/>
    <x v="2"/>
    <x v="0"/>
    <x v="0"/>
    <x v="2"/>
  </r>
  <r>
    <x v="4"/>
    <x v="1"/>
    <x v="0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x v="1"/>
    <n v="11"/>
    <n v="3"/>
    <n v="4"/>
    <n v="0"/>
    <n v="9"/>
    <n v="3"/>
    <n v="3"/>
    <n v="9"/>
    <n v="7"/>
    <n v="0"/>
    <n v="7"/>
    <n v="0"/>
    <x v="2"/>
    <x v="2"/>
    <x v="0"/>
    <x v="3"/>
    <x v="1"/>
  </r>
  <r>
    <x v="5"/>
    <x v="1"/>
    <x v="0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x v="1"/>
    <n v="15"/>
    <n v="3"/>
    <n v="4"/>
    <n v="0"/>
    <n v="10"/>
    <n v="6"/>
    <n v="3"/>
    <n v="7"/>
    <n v="7"/>
    <n v="7"/>
    <n v="7"/>
    <n v="0"/>
    <x v="2"/>
    <x v="3"/>
    <x v="0"/>
    <x v="0"/>
    <x v="1"/>
  </r>
  <r>
    <x v="40"/>
    <x v="1"/>
    <x v="0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x v="1"/>
    <n v="12"/>
    <n v="3"/>
    <n v="4"/>
    <n v="0"/>
    <n v="20"/>
    <n v="2"/>
    <n v="3"/>
    <n v="7"/>
    <n v="7"/>
    <n v="1"/>
    <n v="7"/>
    <n v="0"/>
    <x v="1"/>
    <x v="0"/>
    <x v="0"/>
    <x v="3"/>
    <x v="1"/>
  </r>
  <r>
    <x v="32"/>
    <x v="1"/>
    <x v="1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  <n v="0"/>
    <x v="0"/>
    <x v="3"/>
    <x v="3"/>
    <x v="3"/>
    <x v="1"/>
  </r>
  <r>
    <x v="16"/>
    <x v="1"/>
    <x v="0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x v="1"/>
    <n v="19"/>
    <n v="3"/>
    <n v="3"/>
    <n v="0"/>
    <n v="32"/>
    <n v="3"/>
    <n v="3"/>
    <n v="5"/>
    <n v="1"/>
    <n v="1"/>
    <n v="3"/>
    <n v="0"/>
    <x v="1"/>
    <x v="3"/>
    <x v="2"/>
    <x v="2"/>
    <x v="1"/>
  </r>
  <r>
    <x v="0"/>
    <x v="1"/>
    <x v="0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x v="1"/>
    <n v="15"/>
    <n v="3"/>
    <n v="2"/>
    <n v="3"/>
    <n v="23"/>
    <n v="2"/>
    <n v="2"/>
    <n v="21"/>
    <n v="6"/>
    <n v="12"/>
    <n v="6"/>
    <n v="0"/>
    <x v="0"/>
    <x v="3"/>
    <x v="3"/>
    <x v="0"/>
    <x v="2"/>
  </r>
  <r>
    <x v="42"/>
    <x v="1"/>
    <x v="0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x v="1"/>
    <n v="14"/>
    <n v="3"/>
    <n v="4"/>
    <n v="0"/>
    <n v="10"/>
    <n v="1"/>
    <n v="3"/>
    <n v="2"/>
    <n v="2"/>
    <n v="2"/>
    <n v="2"/>
    <n v="0"/>
    <x v="3"/>
    <x v="0"/>
    <x v="2"/>
    <x v="3"/>
    <x v="1"/>
  </r>
  <r>
    <x v="4"/>
    <x v="1"/>
    <x v="1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x v="1"/>
    <n v="21"/>
    <n v="4"/>
    <n v="3"/>
    <n v="2"/>
    <n v="9"/>
    <n v="4"/>
    <n v="2"/>
    <n v="9"/>
    <n v="7"/>
    <n v="1"/>
    <n v="7"/>
    <n v="0"/>
    <x v="2"/>
    <x v="2"/>
    <x v="0"/>
    <x v="3"/>
    <x v="2"/>
  </r>
  <r>
    <x v="0"/>
    <x v="1"/>
    <x v="0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x v="1"/>
    <n v="12"/>
    <n v="3"/>
    <n v="2"/>
    <n v="1"/>
    <n v="22"/>
    <n v="3"/>
    <n v="3"/>
    <n v="22"/>
    <n v="7"/>
    <n v="2"/>
    <n v="10"/>
    <n v="0"/>
    <x v="0"/>
    <x v="3"/>
    <x v="3"/>
    <x v="2"/>
    <x v="1"/>
  </r>
  <r>
    <x v="24"/>
    <x v="1"/>
    <x v="0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x v="1"/>
    <n v="15"/>
    <n v="3"/>
    <n v="4"/>
    <n v="1"/>
    <n v="4"/>
    <n v="2"/>
    <n v="3"/>
    <n v="2"/>
    <n v="2"/>
    <n v="2"/>
    <n v="2"/>
    <n v="0"/>
    <x v="1"/>
    <x v="0"/>
    <x v="2"/>
    <x v="1"/>
    <x v="1"/>
  </r>
  <r>
    <x v="14"/>
    <x v="0"/>
    <x v="0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x v="0"/>
    <n v="13"/>
    <n v="3"/>
    <n v="4"/>
    <n v="0"/>
    <n v="10"/>
    <n v="4"/>
    <n v="3"/>
    <n v="7"/>
    <n v="7"/>
    <n v="3"/>
    <n v="7"/>
    <n v="1"/>
    <x v="2"/>
    <x v="1"/>
    <x v="0"/>
    <x v="1"/>
    <x v="1"/>
  </r>
  <r>
    <x v="9"/>
    <x v="1"/>
    <x v="2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x v="1"/>
    <n v="14"/>
    <n v="3"/>
    <n v="1"/>
    <n v="1"/>
    <n v="10"/>
    <n v="2"/>
    <n v="3"/>
    <n v="8"/>
    <n v="7"/>
    <n v="0"/>
    <n v="5"/>
    <n v="0"/>
    <x v="0"/>
    <x v="3"/>
    <x v="0"/>
    <x v="3"/>
    <x v="1"/>
  </r>
  <r>
    <x v="8"/>
    <x v="1"/>
    <x v="0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x v="0"/>
    <n v="14"/>
    <n v="3"/>
    <n v="4"/>
    <n v="0"/>
    <n v="10"/>
    <n v="4"/>
    <n v="4"/>
    <n v="1"/>
    <n v="0"/>
    <n v="0"/>
    <n v="0"/>
    <n v="0"/>
    <x v="0"/>
    <x v="2"/>
    <x v="1"/>
    <x v="2"/>
    <x v="3"/>
  </r>
  <r>
    <x v="20"/>
    <x v="1"/>
    <x v="2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x v="1"/>
    <n v="14"/>
    <n v="3"/>
    <n v="3"/>
    <n v="0"/>
    <n v="9"/>
    <n v="5"/>
    <n v="3"/>
    <n v="5"/>
    <n v="2"/>
    <n v="1"/>
    <n v="4"/>
    <n v="0"/>
    <x v="0"/>
    <x v="0"/>
    <x v="2"/>
    <x v="2"/>
    <x v="1"/>
  </r>
  <r>
    <x v="40"/>
    <x v="1"/>
    <x v="1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  <n v="0"/>
    <x v="1"/>
    <x v="3"/>
    <x v="3"/>
    <x v="2"/>
    <x v="2"/>
  </r>
  <r>
    <x v="7"/>
    <x v="1"/>
    <x v="0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x v="1"/>
    <n v="23"/>
    <n v="4"/>
    <n v="4"/>
    <n v="1"/>
    <n v="10"/>
    <n v="2"/>
    <n v="2"/>
    <n v="8"/>
    <n v="7"/>
    <n v="7"/>
    <n v="7"/>
    <n v="0"/>
    <x v="2"/>
    <x v="0"/>
    <x v="0"/>
    <x v="0"/>
    <x v="2"/>
  </r>
  <r>
    <x v="11"/>
    <x v="1"/>
    <x v="0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x v="1"/>
    <n v="11"/>
    <n v="3"/>
    <n v="3"/>
    <n v="0"/>
    <n v="1"/>
    <n v="6"/>
    <n v="3"/>
    <n v="1"/>
    <n v="0"/>
    <n v="0"/>
    <n v="0"/>
    <n v="0"/>
    <x v="2"/>
    <x v="1"/>
    <x v="1"/>
    <x v="2"/>
    <x v="1"/>
  </r>
  <r>
    <x v="19"/>
    <x v="0"/>
    <x v="1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x v="0"/>
    <n v="12"/>
    <n v="3"/>
    <n v="4"/>
    <n v="0"/>
    <n v="7"/>
    <n v="2"/>
    <n v="3"/>
    <n v="2"/>
    <n v="2"/>
    <n v="2"/>
    <n v="2"/>
    <n v="1"/>
    <x v="0"/>
    <x v="1"/>
    <x v="2"/>
    <x v="2"/>
    <x v="1"/>
  </r>
  <r>
    <x v="23"/>
    <x v="1"/>
    <x v="1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x v="1"/>
    <n v="18"/>
    <n v="3"/>
    <n v="3"/>
    <n v="1"/>
    <n v="7"/>
    <n v="5"/>
    <n v="3"/>
    <n v="2"/>
    <n v="2"/>
    <n v="2"/>
    <n v="2"/>
    <n v="0"/>
    <x v="0"/>
    <x v="2"/>
    <x v="2"/>
    <x v="0"/>
    <x v="1"/>
  </r>
  <r>
    <x v="13"/>
    <x v="1"/>
    <x v="0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x v="1"/>
    <n v="11"/>
    <n v="3"/>
    <n v="4"/>
    <n v="0"/>
    <n v="10"/>
    <n v="2"/>
    <n v="3"/>
    <n v="5"/>
    <n v="1"/>
    <n v="4"/>
    <n v="3"/>
    <n v="0"/>
    <x v="2"/>
    <x v="2"/>
    <x v="2"/>
    <x v="2"/>
    <x v="1"/>
  </r>
  <r>
    <x v="30"/>
    <x v="1"/>
    <x v="0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x v="1"/>
    <n v="14"/>
    <n v="3"/>
    <n v="4"/>
    <n v="1"/>
    <n v="5"/>
    <n v="2"/>
    <n v="4"/>
    <n v="4"/>
    <n v="3"/>
    <n v="0"/>
    <n v="2"/>
    <n v="0"/>
    <x v="4"/>
    <x v="1"/>
    <x v="2"/>
    <x v="3"/>
    <x v="3"/>
  </r>
  <r>
    <x v="22"/>
    <x v="1"/>
    <x v="0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x v="1"/>
    <n v="15"/>
    <n v="3"/>
    <n v="3"/>
    <n v="1"/>
    <n v="12"/>
    <n v="3"/>
    <n v="1"/>
    <n v="8"/>
    <n v="3"/>
    <n v="3"/>
    <n v="6"/>
    <n v="0"/>
    <x v="0"/>
    <x v="2"/>
    <x v="0"/>
    <x v="1"/>
    <x v="0"/>
  </r>
  <r>
    <x v="29"/>
    <x v="1"/>
    <x v="0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x v="1"/>
    <n v="11"/>
    <n v="3"/>
    <n v="3"/>
    <n v="0"/>
    <n v="30"/>
    <n v="1"/>
    <n v="2"/>
    <n v="10"/>
    <n v="7"/>
    <n v="1"/>
    <n v="1"/>
    <n v="0"/>
    <x v="3"/>
    <x v="3"/>
    <x v="0"/>
    <x v="0"/>
    <x v="2"/>
  </r>
  <r>
    <x v="32"/>
    <x v="1"/>
    <x v="0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x v="0"/>
    <n v="20"/>
    <n v="4"/>
    <n v="4"/>
    <n v="0"/>
    <n v="5"/>
    <n v="2"/>
    <n v="2"/>
    <n v="4"/>
    <n v="2"/>
    <n v="2"/>
    <n v="3"/>
    <n v="0"/>
    <x v="0"/>
    <x v="1"/>
    <x v="2"/>
    <x v="0"/>
    <x v="2"/>
  </r>
  <r>
    <x v="4"/>
    <x v="1"/>
    <x v="0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x v="1"/>
    <n v="19"/>
    <n v="3"/>
    <n v="1"/>
    <n v="0"/>
    <n v="9"/>
    <n v="2"/>
    <n v="1"/>
    <n v="7"/>
    <n v="6"/>
    <n v="0"/>
    <n v="7"/>
    <n v="0"/>
    <x v="2"/>
    <x v="2"/>
    <x v="0"/>
    <x v="3"/>
    <x v="0"/>
  </r>
  <r>
    <x v="11"/>
    <x v="1"/>
    <x v="0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x v="1"/>
    <n v="14"/>
    <n v="3"/>
    <n v="4"/>
    <n v="2"/>
    <n v="2"/>
    <n v="2"/>
    <n v="3"/>
    <n v="2"/>
    <n v="2"/>
    <n v="2"/>
    <n v="2"/>
    <n v="0"/>
    <x v="2"/>
    <x v="1"/>
    <x v="2"/>
    <x v="1"/>
    <x v="1"/>
  </r>
  <r>
    <x v="16"/>
    <x v="1"/>
    <x v="0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x v="1"/>
    <n v="17"/>
    <n v="3"/>
    <n v="4"/>
    <n v="0"/>
    <n v="19"/>
    <n v="4"/>
    <n v="3"/>
    <n v="2"/>
    <n v="2"/>
    <n v="2"/>
    <n v="2"/>
    <n v="0"/>
    <x v="1"/>
    <x v="1"/>
    <x v="2"/>
    <x v="0"/>
    <x v="1"/>
  </r>
  <r>
    <x v="10"/>
    <x v="1"/>
    <x v="2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x v="1"/>
    <n v="11"/>
    <n v="3"/>
    <n v="1"/>
    <n v="1"/>
    <n v="16"/>
    <n v="2"/>
    <n v="4"/>
    <n v="1"/>
    <n v="0"/>
    <n v="0"/>
    <n v="0"/>
    <n v="0"/>
    <x v="2"/>
    <x v="0"/>
    <x v="1"/>
    <x v="3"/>
    <x v="3"/>
  </r>
  <r>
    <x v="5"/>
    <x v="1"/>
    <x v="1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x v="1"/>
    <n v="15"/>
    <n v="3"/>
    <n v="4"/>
    <n v="2"/>
    <n v="10"/>
    <n v="2"/>
    <n v="3"/>
    <n v="10"/>
    <n v="8"/>
    <n v="4"/>
    <n v="7"/>
    <n v="0"/>
    <x v="2"/>
    <x v="0"/>
    <x v="0"/>
    <x v="0"/>
    <x v="1"/>
  </r>
  <r>
    <x v="8"/>
    <x v="1"/>
    <x v="0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x v="0"/>
    <n v="13"/>
    <n v="3"/>
    <n v="2"/>
    <n v="1"/>
    <n v="6"/>
    <n v="0"/>
    <n v="1"/>
    <n v="1"/>
    <n v="0"/>
    <n v="0"/>
    <n v="1"/>
    <n v="0"/>
    <x v="0"/>
    <x v="0"/>
    <x v="1"/>
    <x v="2"/>
    <x v="0"/>
  </r>
  <r>
    <x v="13"/>
    <x v="1"/>
    <x v="0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x v="1"/>
    <n v="14"/>
    <n v="3"/>
    <n v="3"/>
    <n v="1"/>
    <n v="7"/>
    <n v="3"/>
    <n v="3"/>
    <n v="0"/>
    <n v="0"/>
    <n v="0"/>
    <n v="0"/>
    <n v="0"/>
    <x v="2"/>
    <x v="0"/>
    <x v="1"/>
    <x v="3"/>
    <x v="1"/>
  </r>
  <r>
    <x v="39"/>
    <x v="1"/>
    <x v="0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x v="1"/>
    <n v="11"/>
    <n v="3"/>
    <n v="1"/>
    <n v="0"/>
    <n v="34"/>
    <n v="3"/>
    <n v="4"/>
    <n v="34"/>
    <n v="6"/>
    <n v="1"/>
    <n v="16"/>
    <n v="0"/>
    <x v="1"/>
    <x v="3"/>
    <x v="3"/>
    <x v="3"/>
    <x v="3"/>
  </r>
  <r>
    <x v="3"/>
    <x v="0"/>
    <x v="0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x v="0"/>
    <n v="13"/>
    <n v="3"/>
    <n v="3"/>
    <n v="0"/>
    <n v="10"/>
    <n v="2"/>
    <n v="2"/>
    <n v="10"/>
    <n v="9"/>
    <n v="7"/>
    <n v="8"/>
    <n v="1"/>
    <x v="2"/>
    <x v="1"/>
    <x v="0"/>
    <x v="0"/>
    <x v="2"/>
  </r>
  <r>
    <x v="36"/>
    <x v="1"/>
    <x v="0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x v="1"/>
    <n v="23"/>
    <n v="4"/>
    <n v="2"/>
    <n v="0"/>
    <n v="6"/>
    <n v="5"/>
    <n v="2"/>
    <n v="6"/>
    <n v="5"/>
    <n v="1"/>
    <n v="4"/>
    <n v="0"/>
    <x v="4"/>
    <x v="2"/>
    <x v="0"/>
    <x v="0"/>
    <x v="2"/>
  </r>
  <r>
    <x v="28"/>
    <x v="1"/>
    <x v="0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x v="1"/>
    <n v="13"/>
    <n v="3"/>
    <n v="1"/>
    <n v="0"/>
    <n v="9"/>
    <n v="3"/>
    <n v="3"/>
    <n v="8"/>
    <n v="7"/>
    <n v="3"/>
    <n v="1"/>
    <n v="0"/>
    <x v="0"/>
    <x v="2"/>
    <x v="0"/>
    <x v="2"/>
    <x v="1"/>
  </r>
  <r>
    <x v="30"/>
    <x v="1"/>
    <x v="0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x v="1"/>
    <n v="18"/>
    <n v="3"/>
    <n v="4"/>
    <n v="0"/>
    <n v="2"/>
    <n v="3"/>
    <n v="3"/>
    <n v="2"/>
    <n v="2"/>
    <n v="0"/>
    <n v="2"/>
    <n v="0"/>
    <x v="4"/>
    <x v="0"/>
    <x v="2"/>
    <x v="2"/>
    <x v="1"/>
  </r>
  <r>
    <x v="40"/>
    <x v="0"/>
    <x v="1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x v="0"/>
    <n v="12"/>
    <n v="3"/>
    <n v="4"/>
    <n v="0"/>
    <n v="8"/>
    <n v="2"/>
    <n v="3"/>
    <n v="5"/>
    <n v="4"/>
    <n v="1"/>
    <n v="3"/>
    <n v="1"/>
    <x v="1"/>
    <x v="2"/>
    <x v="2"/>
    <x v="2"/>
    <x v="1"/>
  </r>
  <r>
    <x v="13"/>
    <x v="1"/>
    <x v="0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x v="1"/>
    <n v="22"/>
    <n v="4"/>
    <n v="3"/>
    <n v="0"/>
    <n v="6"/>
    <n v="5"/>
    <n v="3"/>
    <n v="6"/>
    <n v="5"/>
    <n v="1"/>
    <n v="4"/>
    <n v="0"/>
    <x v="2"/>
    <x v="2"/>
    <x v="0"/>
    <x v="0"/>
    <x v="1"/>
  </r>
  <r>
    <x v="27"/>
    <x v="0"/>
    <x v="0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x v="0"/>
    <n v="13"/>
    <n v="3"/>
    <n v="4"/>
    <n v="1"/>
    <n v="24"/>
    <n v="2"/>
    <n v="3"/>
    <n v="5"/>
    <n v="2"/>
    <n v="1"/>
    <n v="4"/>
    <n v="1"/>
    <x v="1"/>
    <x v="3"/>
    <x v="2"/>
    <x v="3"/>
    <x v="1"/>
  </r>
  <r>
    <x v="9"/>
    <x v="1"/>
    <x v="2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x v="1"/>
    <n v="15"/>
    <n v="3"/>
    <n v="2"/>
    <n v="0"/>
    <n v="10"/>
    <n v="1"/>
    <n v="3"/>
    <n v="10"/>
    <n v="7"/>
    <n v="0"/>
    <n v="9"/>
    <n v="0"/>
    <x v="0"/>
    <x v="2"/>
    <x v="0"/>
    <x v="3"/>
    <x v="1"/>
  </r>
  <r>
    <x v="39"/>
    <x v="1"/>
    <x v="2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x v="1"/>
    <n v="18"/>
    <n v="3"/>
    <n v="1"/>
    <n v="1"/>
    <n v="5"/>
    <n v="3"/>
    <n v="3"/>
    <n v="4"/>
    <n v="3"/>
    <n v="1"/>
    <n v="2"/>
    <n v="0"/>
    <x v="1"/>
    <x v="0"/>
    <x v="2"/>
    <x v="0"/>
    <x v="1"/>
  </r>
  <r>
    <x v="25"/>
    <x v="1"/>
    <x v="1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x v="1"/>
    <n v="14"/>
    <n v="3"/>
    <n v="1"/>
    <n v="1"/>
    <n v="5"/>
    <n v="2"/>
    <n v="3"/>
    <n v="2"/>
    <n v="2"/>
    <n v="2"/>
    <n v="0"/>
    <n v="0"/>
    <x v="2"/>
    <x v="0"/>
    <x v="2"/>
    <x v="0"/>
    <x v="1"/>
  </r>
  <r>
    <x v="11"/>
    <x v="1"/>
    <x v="0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x v="1"/>
    <n v="12"/>
    <n v="3"/>
    <n v="1"/>
    <n v="1"/>
    <n v="11"/>
    <n v="3"/>
    <n v="2"/>
    <n v="8"/>
    <n v="7"/>
    <n v="1"/>
    <n v="1"/>
    <n v="0"/>
    <x v="2"/>
    <x v="0"/>
    <x v="0"/>
    <x v="2"/>
    <x v="2"/>
  </r>
  <r>
    <x v="25"/>
    <x v="0"/>
    <x v="0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x v="1"/>
    <n v="17"/>
    <n v="3"/>
    <n v="3"/>
    <n v="0"/>
    <n v="6"/>
    <n v="2"/>
    <n v="2"/>
    <n v="4"/>
    <n v="3"/>
    <n v="1"/>
    <n v="2"/>
    <n v="1"/>
    <x v="2"/>
    <x v="0"/>
    <x v="2"/>
    <x v="3"/>
    <x v="2"/>
  </r>
  <r>
    <x v="13"/>
    <x v="1"/>
    <x v="0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x v="1"/>
    <n v="16"/>
    <n v="3"/>
    <n v="3"/>
    <n v="0"/>
    <n v="10"/>
    <n v="2"/>
    <n v="3"/>
    <n v="4"/>
    <n v="2"/>
    <n v="1"/>
    <n v="3"/>
    <n v="0"/>
    <x v="2"/>
    <x v="0"/>
    <x v="2"/>
    <x v="0"/>
    <x v="1"/>
  </r>
  <r>
    <x v="33"/>
    <x v="1"/>
    <x v="0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x v="0"/>
    <n v="11"/>
    <n v="3"/>
    <n v="2"/>
    <n v="2"/>
    <n v="9"/>
    <n v="4"/>
    <n v="3"/>
    <n v="5"/>
    <n v="3"/>
    <n v="1"/>
    <n v="4"/>
    <n v="0"/>
    <x v="1"/>
    <x v="0"/>
    <x v="2"/>
    <x v="3"/>
    <x v="1"/>
  </r>
  <r>
    <x v="4"/>
    <x v="1"/>
    <x v="1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x v="1"/>
    <n v="19"/>
    <n v="3"/>
    <n v="2"/>
    <n v="1"/>
    <n v="5"/>
    <n v="3"/>
    <n v="3"/>
    <n v="4"/>
    <n v="2"/>
    <n v="1"/>
    <n v="1"/>
    <n v="0"/>
    <x v="2"/>
    <x v="0"/>
    <x v="2"/>
    <x v="0"/>
    <x v="1"/>
  </r>
  <r>
    <x v="2"/>
    <x v="1"/>
    <x v="0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x v="0"/>
    <n v="13"/>
    <n v="3"/>
    <n v="2"/>
    <n v="2"/>
    <n v="6"/>
    <n v="3"/>
    <n v="2"/>
    <n v="5"/>
    <n v="3"/>
    <n v="4"/>
    <n v="3"/>
    <n v="0"/>
    <x v="0"/>
    <x v="1"/>
    <x v="2"/>
    <x v="3"/>
    <x v="2"/>
  </r>
  <r>
    <x v="8"/>
    <x v="1"/>
    <x v="1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x v="0"/>
    <n v="12"/>
    <n v="3"/>
    <n v="4"/>
    <n v="0"/>
    <n v="17"/>
    <n v="2"/>
    <n v="3"/>
    <n v="15"/>
    <n v="7"/>
    <n v="4"/>
    <n v="12"/>
    <n v="0"/>
    <x v="0"/>
    <x v="0"/>
    <x v="3"/>
    <x v="3"/>
    <x v="1"/>
  </r>
  <r>
    <x v="13"/>
    <x v="1"/>
    <x v="0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x v="1"/>
    <n v="11"/>
    <n v="3"/>
    <n v="3"/>
    <n v="0"/>
    <n v="6"/>
    <n v="3"/>
    <n v="3"/>
    <n v="6"/>
    <n v="5"/>
    <n v="1"/>
    <n v="3"/>
    <n v="0"/>
    <x v="2"/>
    <x v="0"/>
    <x v="0"/>
    <x v="3"/>
    <x v="1"/>
  </r>
  <r>
    <x v="10"/>
    <x v="1"/>
    <x v="0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x v="1"/>
    <n v="16"/>
    <n v="3"/>
    <n v="2"/>
    <n v="1"/>
    <n v="3"/>
    <n v="1"/>
    <n v="2"/>
    <n v="3"/>
    <n v="2"/>
    <n v="0"/>
    <n v="2"/>
    <n v="0"/>
    <x v="2"/>
    <x v="1"/>
    <x v="2"/>
    <x v="0"/>
    <x v="2"/>
  </r>
  <r>
    <x v="7"/>
    <x v="1"/>
    <x v="0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x v="1"/>
    <n v="21"/>
    <n v="4"/>
    <n v="3"/>
    <n v="2"/>
    <n v="7"/>
    <n v="2"/>
    <n v="3"/>
    <n v="2"/>
    <n v="2"/>
    <n v="0"/>
    <n v="2"/>
    <n v="0"/>
    <x v="2"/>
    <x v="0"/>
    <x v="2"/>
    <x v="2"/>
    <x v="1"/>
  </r>
  <r>
    <x v="32"/>
    <x v="1"/>
    <x v="1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x v="1"/>
    <n v="24"/>
    <n v="4"/>
    <n v="4"/>
    <n v="1"/>
    <n v="8"/>
    <n v="2"/>
    <n v="3"/>
    <n v="8"/>
    <n v="7"/>
    <n v="3"/>
    <n v="7"/>
    <n v="0"/>
    <x v="0"/>
    <x v="0"/>
    <x v="0"/>
    <x v="1"/>
    <x v="1"/>
  </r>
  <r>
    <x v="13"/>
    <x v="1"/>
    <x v="0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x v="1"/>
    <n v="17"/>
    <n v="3"/>
    <n v="2"/>
    <n v="1"/>
    <n v="6"/>
    <n v="1"/>
    <n v="3"/>
    <n v="3"/>
    <n v="2"/>
    <n v="1"/>
    <n v="2"/>
    <n v="0"/>
    <x v="2"/>
    <x v="2"/>
    <x v="2"/>
    <x v="3"/>
    <x v="1"/>
  </r>
  <r>
    <x v="19"/>
    <x v="1"/>
    <x v="1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  <n v="0"/>
    <x v="0"/>
    <x v="3"/>
    <x v="3"/>
    <x v="0"/>
    <x v="2"/>
  </r>
  <r>
    <x v="30"/>
    <x v="0"/>
    <x v="0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x v="0"/>
    <n v="21"/>
    <n v="4"/>
    <n v="3"/>
    <n v="2"/>
    <n v="1"/>
    <n v="2"/>
    <n v="3"/>
    <n v="0"/>
    <n v="0"/>
    <n v="0"/>
    <n v="0"/>
    <n v="1"/>
    <x v="4"/>
    <x v="1"/>
    <x v="1"/>
    <x v="3"/>
    <x v="1"/>
  </r>
  <r>
    <x v="17"/>
    <x v="1"/>
    <x v="2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x v="1"/>
    <n v="11"/>
    <n v="3"/>
    <n v="3"/>
    <n v="3"/>
    <n v="1"/>
    <n v="4"/>
    <n v="3"/>
    <n v="1"/>
    <n v="0"/>
    <n v="0"/>
    <n v="0"/>
    <n v="0"/>
    <x v="4"/>
    <x v="1"/>
    <x v="1"/>
    <x v="1"/>
    <x v="1"/>
  </r>
  <r>
    <x v="39"/>
    <x v="1"/>
    <x v="0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x v="1"/>
    <n v="20"/>
    <n v="4"/>
    <n v="2"/>
    <n v="1"/>
    <n v="9"/>
    <n v="3"/>
    <n v="3"/>
    <n v="5"/>
    <n v="2"/>
    <n v="1"/>
    <n v="4"/>
    <n v="0"/>
    <x v="1"/>
    <x v="0"/>
    <x v="2"/>
    <x v="2"/>
    <x v="1"/>
  </r>
  <r>
    <x v="24"/>
    <x v="1"/>
    <x v="0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x v="1"/>
    <n v="16"/>
    <n v="3"/>
    <n v="4"/>
    <n v="0"/>
    <n v="30"/>
    <n v="3"/>
    <n v="3"/>
    <n v="4"/>
    <n v="3"/>
    <n v="0"/>
    <n v="3"/>
    <n v="0"/>
    <x v="1"/>
    <x v="3"/>
    <x v="2"/>
    <x v="2"/>
    <x v="1"/>
  </r>
  <r>
    <x v="11"/>
    <x v="0"/>
    <x v="0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x v="0"/>
    <n v="11"/>
    <n v="3"/>
    <n v="4"/>
    <n v="1"/>
    <n v="1"/>
    <n v="1"/>
    <n v="3"/>
    <n v="1"/>
    <n v="0"/>
    <n v="0"/>
    <n v="0"/>
    <n v="1"/>
    <x v="2"/>
    <x v="1"/>
    <x v="1"/>
    <x v="3"/>
    <x v="1"/>
  </r>
  <r>
    <x v="3"/>
    <x v="1"/>
    <x v="0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x v="1"/>
    <n v="11"/>
    <n v="3"/>
    <n v="4"/>
    <n v="0"/>
    <n v="14"/>
    <n v="3"/>
    <n v="4"/>
    <n v="13"/>
    <n v="9"/>
    <n v="3"/>
    <n v="7"/>
    <n v="0"/>
    <x v="2"/>
    <x v="3"/>
    <x v="3"/>
    <x v="2"/>
    <x v="3"/>
  </r>
  <r>
    <x v="3"/>
    <x v="0"/>
    <x v="0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x v="1"/>
    <n v="15"/>
    <n v="3"/>
    <n v="3"/>
    <n v="0"/>
    <n v="6"/>
    <n v="3"/>
    <n v="3"/>
    <n v="3"/>
    <n v="2"/>
    <n v="0"/>
    <n v="2"/>
    <n v="1"/>
    <x v="2"/>
    <x v="0"/>
    <x v="2"/>
    <x v="3"/>
    <x v="1"/>
  </r>
  <r>
    <x v="40"/>
    <x v="1"/>
    <x v="0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x v="0"/>
    <n v="11"/>
    <n v="3"/>
    <n v="3"/>
    <n v="1"/>
    <n v="26"/>
    <n v="3"/>
    <n v="2"/>
    <n v="26"/>
    <n v="14"/>
    <n v="3"/>
    <n v="0"/>
    <n v="0"/>
    <x v="1"/>
    <x v="3"/>
    <x v="3"/>
    <x v="0"/>
    <x v="2"/>
  </r>
  <r>
    <x v="9"/>
    <x v="1"/>
    <x v="0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x v="1"/>
    <n v="15"/>
    <n v="3"/>
    <n v="1"/>
    <n v="1"/>
    <n v="10"/>
    <n v="2"/>
    <n v="3"/>
    <n v="9"/>
    <n v="7"/>
    <n v="0"/>
    <n v="5"/>
    <n v="0"/>
    <x v="0"/>
    <x v="0"/>
    <x v="0"/>
    <x v="1"/>
    <x v="1"/>
  </r>
  <r>
    <x v="11"/>
    <x v="1"/>
    <x v="0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x v="1"/>
    <n v="24"/>
    <n v="4"/>
    <n v="3"/>
    <n v="1"/>
    <n v="10"/>
    <n v="3"/>
    <n v="3"/>
    <n v="10"/>
    <n v="7"/>
    <n v="0"/>
    <n v="7"/>
    <n v="0"/>
    <x v="2"/>
    <x v="1"/>
    <x v="0"/>
    <x v="2"/>
    <x v="1"/>
  </r>
  <r>
    <x v="34"/>
    <x v="0"/>
    <x v="0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x v="0"/>
    <n v="12"/>
    <n v="3"/>
    <n v="4"/>
    <n v="0"/>
    <n v="40"/>
    <n v="2"/>
    <n v="3"/>
    <n v="31"/>
    <n v="15"/>
    <n v="13"/>
    <n v="8"/>
    <n v="1"/>
    <x v="3"/>
    <x v="3"/>
    <x v="3"/>
    <x v="1"/>
    <x v="1"/>
  </r>
  <r>
    <x v="10"/>
    <x v="1"/>
    <x v="0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x v="1"/>
    <n v="13"/>
    <n v="3"/>
    <n v="3"/>
    <n v="0"/>
    <n v="7"/>
    <n v="0"/>
    <n v="3"/>
    <n v="2"/>
    <n v="2"/>
    <n v="2"/>
    <n v="2"/>
    <n v="0"/>
    <x v="2"/>
    <x v="1"/>
    <x v="2"/>
    <x v="2"/>
    <x v="1"/>
  </r>
  <r>
    <x v="19"/>
    <x v="1"/>
    <x v="0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x v="0"/>
    <n v="13"/>
    <n v="3"/>
    <n v="4"/>
    <n v="1"/>
    <n v="8"/>
    <n v="4"/>
    <n v="3"/>
    <n v="4"/>
    <n v="3"/>
    <n v="0"/>
    <n v="2"/>
    <n v="0"/>
    <x v="0"/>
    <x v="2"/>
    <x v="2"/>
    <x v="0"/>
    <x v="1"/>
  </r>
  <r>
    <x v="14"/>
    <x v="0"/>
    <x v="0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x v="1"/>
    <n v="17"/>
    <n v="3"/>
    <n v="4"/>
    <n v="0"/>
    <n v="5"/>
    <n v="3"/>
    <n v="2"/>
    <n v="2"/>
    <n v="2"/>
    <n v="2"/>
    <n v="1"/>
    <n v="1"/>
    <x v="2"/>
    <x v="0"/>
    <x v="2"/>
    <x v="2"/>
    <x v="2"/>
  </r>
  <r>
    <x v="9"/>
    <x v="1"/>
    <x v="0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x v="1"/>
    <n v="13"/>
    <n v="3"/>
    <n v="2"/>
    <n v="1"/>
    <n v="8"/>
    <n v="2"/>
    <n v="3"/>
    <n v="5"/>
    <n v="2"/>
    <n v="0"/>
    <n v="4"/>
    <n v="0"/>
    <x v="0"/>
    <x v="1"/>
    <x v="2"/>
    <x v="1"/>
    <x v="1"/>
  </r>
  <r>
    <x v="5"/>
    <x v="1"/>
    <x v="0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x v="1"/>
    <n v="12"/>
    <n v="3"/>
    <n v="3"/>
    <n v="1"/>
    <n v="14"/>
    <n v="3"/>
    <n v="3"/>
    <n v="14"/>
    <n v="13"/>
    <n v="6"/>
    <n v="8"/>
    <n v="0"/>
    <x v="2"/>
    <x v="2"/>
    <x v="3"/>
    <x v="2"/>
    <x v="1"/>
  </r>
  <r>
    <x v="32"/>
    <x v="1"/>
    <x v="1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x v="1"/>
    <n v="14"/>
    <n v="3"/>
    <n v="4"/>
    <n v="0"/>
    <n v="10"/>
    <n v="6"/>
    <n v="3"/>
    <n v="1"/>
    <n v="0"/>
    <n v="0"/>
    <n v="0"/>
    <n v="0"/>
    <x v="0"/>
    <x v="0"/>
    <x v="1"/>
    <x v="2"/>
    <x v="1"/>
  </r>
  <r>
    <x v="7"/>
    <x v="1"/>
    <x v="0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x v="0"/>
    <n v="24"/>
    <n v="4"/>
    <n v="2"/>
    <n v="0"/>
    <n v="12"/>
    <n v="4"/>
    <n v="2"/>
    <n v="0"/>
    <n v="0"/>
    <n v="0"/>
    <n v="0"/>
    <n v="0"/>
    <x v="2"/>
    <x v="2"/>
    <x v="1"/>
    <x v="0"/>
    <x v="2"/>
  </r>
  <r>
    <x v="28"/>
    <x v="1"/>
    <x v="0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x v="1"/>
    <n v="14"/>
    <n v="3"/>
    <n v="4"/>
    <n v="0"/>
    <n v="1"/>
    <n v="3"/>
    <n v="3"/>
    <n v="1"/>
    <n v="0"/>
    <n v="0"/>
    <n v="0"/>
    <n v="0"/>
    <x v="0"/>
    <x v="1"/>
    <x v="1"/>
    <x v="2"/>
    <x v="1"/>
  </r>
  <r>
    <x v="19"/>
    <x v="1"/>
    <x v="0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x v="1"/>
    <n v="13"/>
    <n v="3"/>
    <n v="4"/>
    <n v="1"/>
    <n v="10"/>
    <n v="3"/>
    <n v="2"/>
    <n v="9"/>
    <n v="8"/>
    <n v="7"/>
    <n v="8"/>
    <n v="0"/>
    <x v="0"/>
    <x v="0"/>
    <x v="0"/>
    <x v="1"/>
    <x v="2"/>
  </r>
  <r>
    <x v="8"/>
    <x v="1"/>
    <x v="1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x v="1"/>
    <n v="15"/>
    <n v="3"/>
    <n v="3"/>
    <n v="1"/>
    <n v="13"/>
    <n v="3"/>
    <n v="2"/>
    <n v="4"/>
    <n v="3"/>
    <n v="1"/>
    <n v="2"/>
    <n v="0"/>
    <x v="0"/>
    <x v="2"/>
    <x v="2"/>
    <x v="3"/>
    <x v="2"/>
  </r>
  <r>
    <x v="13"/>
    <x v="1"/>
    <x v="1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x v="1"/>
    <n v="16"/>
    <n v="3"/>
    <n v="3"/>
    <n v="0"/>
    <n v="6"/>
    <n v="3"/>
    <n v="3"/>
    <n v="5"/>
    <n v="2"/>
    <n v="1"/>
    <n v="3"/>
    <n v="0"/>
    <x v="2"/>
    <x v="1"/>
    <x v="2"/>
    <x v="0"/>
    <x v="1"/>
  </r>
  <r>
    <x v="1"/>
    <x v="0"/>
    <x v="0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x v="1"/>
    <n v="18"/>
    <n v="3"/>
    <n v="1"/>
    <n v="2"/>
    <n v="9"/>
    <n v="3"/>
    <n v="4"/>
    <n v="9"/>
    <n v="8"/>
    <n v="7"/>
    <n v="7"/>
    <n v="1"/>
    <x v="1"/>
    <x v="2"/>
    <x v="0"/>
    <x v="0"/>
    <x v="3"/>
  </r>
  <r>
    <x v="27"/>
    <x v="0"/>
    <x v="0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x v="1"/>
    <n v="16"/>
    <n v="3"/>
    <n v="3"/>
    <n v="0"/>
    <n v="12"/>
    <n v="3"/>
    <n v="2"/>
    <n v="9"/>
    <n v="7"/>
    <n v="7"/>
    <n v="3"/>
    <n v="1"/>
    <x v="1"/>
    <x v="0"/>
    <x v="0"/>
    <x v="0"/>
    <x v="2"/>
  </r>
  <r>
    <x v="23"/>
    <x v="1"/>
    <x v="0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x v="1"/>
    <n v="24"/>
    <n v="4"/>
    <n v="3"/>
    <n v="1"/>
    <n v="22"/>
    <n v="3"/>
    <n v="3"/>
    <n v="4"/>
    <n v="1"/>
    <n v="1"/>
    <n v="0"/>
    <n v="0"/>
    <x v="0"/>
    <x v="3"/>
    <x v="2"/>
    <x v="3"/>
    <x v="1"/>
  </r>
  <r>
    <x v="4"/>
    <x v="1"/>
    <x v="0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x v="0"/>
    <n v="16"/>
    <n v="3"/>
    <n v="2"/>
    <n v="1"/>
    <n v="9"/>
    <n v="3"/>
    <n v="3"/>
    <n v="9"/>
    <n v="8"/>
    <n v="0"/>
    <n v="8"/>
    <n v="0"/>
    <x v="2"/>
    <x v="3"/>
    <x v="0"/>
    <x v="0"/>
    <x v="1"/>
  </r>
  <r>
    <x v="10"/>
    <x v="1"/>
    <x v="0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x v="1"/>
    <n v="21"/>
    <n v="4"/>
    <n v="2"/>
    <n v="0"/>
    <n v="17"/>
    <n v="3"/>
    <n v="4"/>
    <n v="8"/>
    <n v="5"/>
    <n v="1"/>
    <n v="6"/>
    <n v="0"/>
    <x v="2"/>
    <x v="3"/>
    <x v="0"/>
    <x v="2"/>
    <x v="3"/>
  </r>
  <r>
    <x v="14"/>
    <x v="1"/>
    <x v="0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x v="0"/>
    <n v="20"/>
    <n v="4"/>
    <n v="1"/>
    <n v="0"/>
    <n v="8"/>
    <n v="2"/>
    <n v="3"/>
    <n v="8"/>
    <n v="7"/>
    <n v="7"/>
    <n v="5"/>
    <n v="0"/>
    <x v="2"/>
    <x v="0"/>
    <x v="0"/>
    <x v="1"/>
    <x v="1"/>
  </r>
  <r>
    <x v="13"/>
    <x v="1"/>
    <x v="0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x v="1"/>
    <n v="19"/>
    <n v="3"/>
    <n v="3"/>
    <n v="1"/>
    <n v="4"/>
    <n v="1"/>
    <n v="1"/>
    <n v="3"/>
    <n v="2"/>
    <n v="0"/>
    <n v="2"/>
    <n v="0"/>
    <x v="2"/>
    <x v="0"/>
    <x v="2"/>
    <x v="0"/>
    <x v="0"/>
  </r>
  <r>
    <x v="25"/>
    <x v="0"/>
    <x v="1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x v="0"/>
    <n v="14"/>
    <n v="3"/>
    <n v="1"/>
    <n v="1"/>
    <n v="8"/>
    <n v="2"/>
    <n v="3"/>
    <n v="8"/>
    <n v="7"/>
    <n v="1"/>
    <n v="7"/>
    <n v="1"/>
    <x v="2"/>
    <x v="1"/>
    <x v="0"/>
    <x v="2"/>
    <x v="1"/>
  </r>
  <r>
    <x v="4"/>
    <x v="1"/>
    <x v="2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x v="1"/>
    <n v="11"/>
    <n v="3"/>
    <n v="3"/>
    <n v="3"/>
    <n v="0"/>
    <n v="6"/>
    <n v="2"/>
    <n v="0"/>
    <n v="0"/>
    <n v="0"/>
    <n v="0"/>
    <n v="0"/>
    <x v="2"/>
    <x v="1"/>
    <x v="1"/>
    <x v="0"/>
    <x v="2"/>
  </r>
  <r>
    <x v="31"/>
    <x v="1"/>
    <x v="0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x v="1"/>
    <n v="14"/>
    <n v="3"/>
    <n v="3"/>
    <n v="1"/>
    <n v="29"/>
    <n v="2"/>
    <n v="2"/>
    <n v="20"/>
    <n v="6"/>
    <n v="4"/>
    <n v="17"/>
    <n v="0"/>
    <x v="1"/>
    <x v="3"/>
    <x v="3"/>
    <x v="2"/>
    <x v="2"/>
  </r>
  <r>
    <x v="20"/>
    <x v="1"/>
    <x v="0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x v="1"/>
    <n v="12"/>
    <n v="3"/>
    <n v="4"/>
    <n v="0"/>
    <n v="10"/>
    <n v="2"/>
    <n v="2"/>
    <n v="5"/>
    <n v="2"/>
    <n v="2"/>
    <n v="3"/>
    <n v="0"/>
    <x v="0"/>
    <x v="0"/>
    <x v="2"/>
    <x v="1"/>
    <x v="2"/>
  </r>
  <r>
    <x v="36"/>
    <x v="1"/>
    <x v="0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x v="1"/>
    <n v="13"/>
    <n v="3"/>
    <n v="3"/>
    <n v="0"/>
    <n v="6"/>
    <n v="3"/>
    <n v="2"/>
    <n v="4"/>
    <n v="3"/>
    <n v="0"/>
    <n v="1"/>
    <n v="0"/>
    <x v="4"/>
    <x v="0"/>
    <x v="2"/>
    <x v="3"/>
    <x v="2"/>
  </r>
  <r>
    <x v="3"/>
    <x v="1"/>
    <x v="0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x v="1"/>
    <n v="22"/>
    <n v="4"/>
    <n v="1"/>
    <n v="1"/>
    <n v="9"/>
    <n v="5"/>
    <n v="3"/>
    <n v="9"/>
    <n v="8"/>
    <n v="0"/>
    <n v="8"/>
    <n v="0"/>
    <x v="2"/>
    <x v="0"/>
    <x v="0"/>
    <x v="3"/>
    <x v="1"/>
  </r>
  <r>
    <x v="10"/>
    <x v="1"/>
    <x v="0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x v="1"/>
    <n v="11"/>
    <n v="3"/>
    <n v="4"/>
    <n v="0"/>
    <n v="6"/>
    <n v="3"/>
    <n v="2"/>
    <n v="6"/>
    <n v="5"/>
    <n v="1"/>
    <n v="1"/>
    <n v="0"/>
    <x v="2"/>
    <x v="1"/>
    <x v="0"/>
    <x v="3"/>
    <x v="2"/>
  </r>
  <r>
    <x v="9"/>
    <x v="1"/>
    <x v="0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x v="0"/>
    <n v="14"/>
    <n v="3"/>
    <n v="4"/>
    <n v="1"/>
    <n v="18"/>
    <n v="1"/>
    <n v="2"/>
    <n v="18"/>
    <n v="14"/>
    <n v="4"/>
    <n v="11"/>
    <n v="0"/>
    <x v="0"/>
    <x v="2"/>
    <x v="3"/>
    <x v="0"/>
    <x v="2"/>
  </r>
  <r>
    <x v="5"/>
    <x v="1"/>
    <x v="0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x v="1"/>
    <n v="11"/>
    <n v="3"/>
    <n v="3"/>
    <n v="1"/>
    <n v="8"/>
    <n v="3"/>
    <n v="2"/>
    <n v="5"/>
    <n v="2"/>
    <n v="0"/>
    <n v="3"/>
    <n v="0"/>
    <x v="2"/>
    <x v="0"/>
    <x v="2"/>
    <x v="0"/>
    <x v="2"/>
  </r>
  <r>
    <x v="7"/>
    <x v="1"/>
    <x v="1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x v="1"/>
    <n v="12"/>
    <n v="3"/>
    <n v="2"/>
    <n v="1"/>
    <n v="10"/>
    <n v="3"/>
    <n v="2"/>
    <n v="5"/>
    <n v="4"/>
    <n v="0"/>
    <n v="3"/>
    <n v="0"/>
    <x v="2"/>
    <x v="0"/>
    <x v="2"/>
    <x v="0"/>
    <x v="2"/>
  </r>
  <r>
    <x v="16"/>
    <x v="1"/>
    <x v="0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x v="0"/>
    <n v="18"/>
    <n v="3"/>
    <n v="4"/>
    <n v="1"/>
    <n v="35"/>
    <n v="3"/>
    <n v="3"/>
    <n v="5"/>
    <n v="2"/>
    <n v="0"/>
    <n v="4"/>
    <n v="0"/>
    <x v="1"/>
    <x v="3"/>
    <x v="2"/>
    <x v="0"/>
    <x v="1"/>
  </r>
  <r>
    <x v="28"/>
    <x v="1"/>
    <x v="0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x v="0"/>
    <n v="12"/>
    <n v="3"/>
    <n v="3"/>
    <n v="1"/>
    <n v="18"/>
    <n v="2"/>
    <n v="3"/>
    <n v="5"/>
    <n v="4"/>
    <n v="0"/>
    <n v="2"/>
    <n v="0"/>
    <x v="0"/>
    <x v="3"/>
    <x v="2"/>
    <x v="3"/>
    <x v="1"/>
  </r>
  <r>
    <x v="5"/>
    <x v="1"/>
    <x v="0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x v="1"/>
    <n v="12"/>
    <n v="3"/>
    <n v="3"/>
    <n v="1"/>
    <n v="9"/>
    <n v="3"/>
    <n v="2"/>
    <n v="5"/>
    <n v="3"/>
    <n v="1"/>
    <n v="3"/>
    <n v="0"/>
    <x v="2"/>
    <x v="0"/>
    <x v="2"/>
    <x v="2"/>
    <x v="2"/>
  </r>
  <r>
    <x v="39"/>
    <x v="1"/>
    <x v="1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x v="1"/>
    <n v="22"/>
    <n v="4"/>
    <n v="3"/>
    <n v="0"/>
    <n v="31"/>
    <n v="3"/>
    <n v="3"/>
    <n v="9"/>
    <n v="8"/>
    <n v="0"/>
    <n v="0"/>
    <n v="0"/>
    <x v="1"/>
    <x v="3"/>
    <x v="0"/>
    <x v="0"/>
    <x v="1"/>
  </r>
  <r>
    <x v="2"/>
    <x v="1"/>
    <x v="0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x v="1"/>
    <n v="19"/>
    <n v="3"/>
    <n v="4"/>
    <n v="2"/>
    <n v="9"/>
    <n v="2"/>
    <n v="3"/>
    <n v="1"/>
    <n v="0"/>
    <n v="0"/>
    <n v="0"/>
    <n v="0"/>
    <x v="0"/>
    <x v="2"/>
    <x v="1"/>
    <x v="2"/>
    <x v="1"/>
  </r>
  <r>
    <x v="14"/>
    <x v="1"/>
    <x v="0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x v="1"/>
    <n v="13"/>
    <n v="3"/>
    <n v="4"/>
    <n v="1"/>
    <n v="6"/>
    <n v="6"/>
    <n v="3"/>
    <n v="5"/>
    <n v="1"/>
    <n v="0"/>
    <n v="4"/>
    <n v="0"/>
    <x v="2"/>
    <x v="0"/>
    <x v="2"/>
    <x v="0"/>
    <x v="1"/>
  </r>
  <r>
    <x v="15"/>
    <x v="1"/>
    <x v="0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x v="1"/>
    <n v="22"/>
    <n v="4"/>
    <n v="1"/>
    <n v="2"/>
    <n v="4"/>
    <n v="2"/>
    <n v="1"/>
    <n v="2"/>
    <n v="2"/>
    <n v="2"/>
    <n v="2"/>
    <n v="0"/>
    <x v="4"/>
    <x v="0"/>
    <x v="2"/>
    <x v="0"/>
    <x v="0"/>
  </r>
  <r>
    <x v="20"/>
    <x v="1"/>
    <x v="0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x v="0"/>
    <n v="24"/>
    <n v="4"/>
    <n v="3"/>
    <n v="1"/>
    <n v="10"/>
    <n v="2"/>
    <n v="2"/>
    <n v="3"/>
    <n v="2"/>
    <n v="0"/>
    <n v="2"/>
    <n v="0"/>
    <x v="0"/>
    <x v="1"/>
    <x v="2"/>
    <x v="0"/>
    <x v="2"/>
  </r>
  <r>
    <x v="19"/>
    <x v="1"/>
    <x v="1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x v="0"/>
    <n v="14"/>
    <n v="3"/>
    <n v="4"/>
    <n v="0"/>
    <n v="8"/>
    <n v="2"/>
    <n v="3"/>
    <n v="2"/>
    <n v="1"/>
    <n v="2"/>
    <n v="2"/>
    <n v="0"/>
    <x v="0"/>
    <x v="1"/>
    <x v="2"/>
    <x v="0"/>
    <x v="1"/>
  </r>
  <r>
    <x v="9"/>
    <x v="1"/>
    <x v="0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x v="1"/>
    <n v="21"/>
    <n v="4"/>
    <n v="3"/>
    <n v="0"/>
    <n v="6"/>
    <n v="3"/>
    <n v="3"/>
    <n v="5"/>
    <n v="4"/>
    <n v="0"/>
    <n v="3"/>
    <n v="0"/>
    <x v="0"/>
    <x v="1"/>
    <x v="2"/>
    <x v="3"/>
    <x v="1"/>
  </r>
  <r>
    <x v="36"/>
    <x v="1"/>
    <x v="0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x v="0"/>
    <n v="18"/>
    <n v="3"/>
    <n v="4"/>
    <n v="0"/>
    <n v="5"/>
    <n v="3"/>
    <n v="3"/>
    <n v="5"/>
    <n v="3"/>
    <n v="0"/>
    <n v="3"/>
    <n v="0"/>
    <x v="4"/>
    <x v="0"/>
    <x v="2"/>
    <x v="3"/>
    <x v="1"/>
  </r>
  <r>
    <x v="10"/>
    <x v="1"/>
    <x v="0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  <n v="0"/>
    <x v="2"/>
    <x v="3"/>
    <x v="3"/>
    <x v="2"/>
    <x v="1"/>
  </r>
  <r>
    <x v="10"/>
    <x v="0"/>
    <x v="1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x v="0"/>
    <n v="19"/>
    <n v="3"/>
    <n v="1"/>
    <n v="1"/>
    <n v="10"/>
    <n v="3"/>
    <n v="2"/>
    <n v="10"/>
    <n v="2"/>
    <n v="7"/>
    <n v="8"/>
    <n v="1"/>
    <x v="2"/>
    <x v="1"/>
    <x v="0"/>
    <x v="1"/>
    <x v="2"/>
  </r>
  <r>
    <x v="5"/>
    <x v="1"/>
    <x v="2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x v="1"/>
    <n v="12"/>
    <n v="3"/>
    <n v="2"/>
    <n v="1"/>
    <n v="4"/>
    <n v="2"/>
    <n v="3"/>
    <n v="3"/>
    <n v="0"/>
    <n v="0"/>
    <n v="2"/>
    <n v="0"/>
    <x v="2"/>
    <x v="1"/>
    <x v="2"/>
    <x v="0"/>
    <x v="1"/>
  </r>
  <r>
    <x v="36"/>
    <x v="1"/>
    <x v="0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x v="1"/>
    <n v="12"/>
    <n v="3"/>
    <n v="1"/>
    <n v="0"/>
    <n v="5"/>
    <n v="1"/>
    <n v="4"/>
    <n v="5"/>
    <n v="2"/>
    <n v="0"/>
    <n v="3"/>
    <n v="0"/>
    <x v="4"/>
    <x v="0"/>
    <x v="2"/>
    <x v="3"/>
    <x v="3"/>
  </r>
  <r>
    <x v="1"/>
    <x v="1"/>
    <x v="0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x v="1"/>
    <n v="16"/>
    <n v="3"/>
    <n v="2"/>
    <n v="1"/>
    <n v="7"/>
    <n v="2"/>
    <n v="3"/>
    <n v="4"/>
    <n v="2"/>
    <n v="0"/>
    <n v="2"/>
    <n v="0"/>
    <x v="1"/>
    <x v="0"/>
    <x v="2"/>
    <x v="3"/>
    <x v="1"/>
  </r>
  <r>
    <x v="17"/>
    <x v="1"/>
    <x v="2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x v="1"/>
    <n v="17"/>
    <n v="3"/>
    <n v="4"/>
    <n v="0"/>
    <n v="6"/>
    <n v="2"/>
    <n v="2"/>
    <n v="5"/>
    <n v="2"/>
    <n v="3"/>
    <n v="4"/>
    <n v="0"/>
    <x v="4"/>
    <x v="0"/>
    <x v="2"/>
    <x v="0"/>
    <x v="2"/>
  </r>
  <r>
    <x v="5"/>
    <x v="1"/>
    <x v="1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x v="1"/>
    <n v="14"/>
    <n v="3"/>
    <n v="4"/>
    <n v="1"/>
    <n v="10"/>
    <n v="3"/>
    <n v="3"/>
    <n v="10"/>
    <n v="8"/>
    <n v="5"/>
    <n v="3"/>
    <n v="0"/>
    <x v="2"/>
    <x v="2"/>
    <x v="0"/>
    <x v="1"/>
    <x v="1"/>
  </r>
  <r>
    <x v="8"/>
    <x v="1"/>
    <x v="0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x v="1"/>
    <n v="19"/>
    <n v="3"/>
    <n v="4"/>
    <n v="1"/>
    <n v="3"/>
    <n v="3"/>
    <n v="3"/>
    <n v="2"/>
    <n v="2"/>
    <n v="1"/>
    <n v="2"/>
    <n v="0"/>
    <x v="0"/>
    <x v="1"/>
    <x v="2"/>
    <x v="1"/>
    <x v="1"/>
  </r>
  <r>
    <x v="19"/>
    <x v="1"/>
    <x v="0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x v="0"/>
    <n v="13"/>
    <n v="3"/>
    <n v="2"/>
    <n v="1"/>
    <n v="17"/>
    <n v="1"/>
    <n v="2"/>
    <n v="5"/>
    <n v="3"/>
    <n v="1"/>
    <n v="3"/>
    <n v="0"/>
    <x v="0"/>
    <x v="0"/>
    <x v="2"/>
    <x v="0"/>
    <x v="2"/>
  </r>
  <r>
    <x v="12"/>
    <x v="1"/>
    <x v="0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x v="0"/>
    <n v="19"/>
    <n v="3"/>
    <n v="2"/>
    <n v="1"/>
    <n v="8"/>
    <n v="2"/>
    <n v="3"/>
    <n v="6"/>
    <n v="4"/>
    <n v="0"/>
    <n v="2"/>
    <n v="0"/>
    <x v="2"/>
    <x v="1"/>
    <x v="0"/>
    <x v="0"/>
    <x v="1"/>
  </r>
  <r>
    <x v="11"/>
    <x v="0"/>
    <x v="0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x v="0"/>
    <n v="19"/>
    <n v="3"/>
    <n v="3"/>
    <n v="3"/>
    <n v="5"/>
    <n v="3"/>
    <n v="3"/>
    <n v="3"/>
    <n v="2"/>
    <n v="0"/>
    <n v="2"/>
    <n v="1"/>
    <x v="2"/>
    <x v="1"/>
    <x v="2"/>
    <x v="2"/>
    <x v="1"/>
  </r>
  <r>
    <x v="16"/>
    <x v="1"/>
    <x v="0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x v="1"/>
    <n v="14"/>
    <n v="3"/>
    <n v="3"/>
    <n v="1"/>
    <n v="28"/>
    <n v="3"/>
    <n v="3"/>
    <n v="2"/>
    <n v="0"/>
    <n v="2"/>
    <n v="2"/>
    <n v="0"/>
    <x v="1"/>
    <x v="3"/>
    <x v="2"/>
    <x v="0"/>
    <x v="1"/>
  </r>
  <r>
    <x v="10"/>
    <x v="1"/>
    <x v="0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x v="1"/>
    <n v="16"/>
    <n v="3"/>
    <n v="1"/>
    <n v="0"/>
    <n v="16"/>
    <n v="2"/>
    <n v="3"/>
    <n v="13"/>
    <n v="10"/>
    <n v="4"/>
    <n v="8"/>
    <n v="0"/>
    <x v="2"/>
    <x v="3"/>
    <x v="3"/>
    <x v="1"/>
    <x v="1"/>
  </r>
  <r>
    <x v="2"/>
    <x v="1"/>
    <x v="1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x v="1"/>
    <n v="15"/>
    <n v="3"/>
    <n v="2"/>
    <n v="1"/>
    <n v="10"/>
    <n v="3"/>
    <n v="3"/>
    <n v="5"/>
    <n v="4"/>
    <n v="0"/>
    <n v="0"/>
    <n v="0"/>
    <x v="0"/>
    <x v="1"/>
    <x v="2"/>
    <x v="0"/>
    <x v="1"/>
  </r>
  <r>
    <x v="16"/>
    <x v="1"/>
    <x v="0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x v="1"/>
    <n v="18"/>
    <n v="3"/>
    <n v="3"/>
    <n v="0"/>
    <n v="33"/>
    <n v="0"/>
    <n v="3"/>
    <n v="12"/>
    <n v="9"/>
    <n v="3"/>
    <n v="8"/>
    <n v="0"/>
    <x v="1"/>
    <x v="3"/>
    <x v="3"/>
    <x v="0"/>
    <x v="1"/>
  </r>
  <r>
    <x v="23"/>
    <x v="1"/>
    <x v="1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x v="1"/>
    <n v="13"/>
    <n v="3"/>
    <n v="2"/>
    <n v="1"/>
    <n v="12"/>
    <n v="2"/>
    <n v="2"/>
    <n v="5"/>
    <n v="2"/>
    <n v="2"/>
    <n v="2"/>
    <n v="0"/>
    <x v="0"/>
    <x v="0"/>
    <x v="2"/>
    <x v="0"/>
    <x v="2"/>
  </r>
  <r>
    <x v="40"/>
    <x v="1"/>
    <x v="0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x v="0"/>
    <n v="22"/>
    <n v="4"/>
    <n v="1"/>
    <n v="1"/>
    <n v="8"/>
    <n v="2"/>
    <n v="3"/>
    <n v="7"/>
    <n v="6"/>
    <n v="7"/>
    <n v="7"/>
    <n v="0"/>
    <x v="1"/>
    <x v="0"/>
    <x v="0"/>
    <x v="0"/>
    <x v="1"/>
  </r>
  <r>
    <x v="2"/>
    <x v="1"/>
    <x v="2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x v="0"/>
    <n v="13"/>
    <n v="3"/>
    <n v="4"/>
    <n v="0"/>
    <n v="10"/>
    <n v="2"/>
    <n v="3"/>
    <n v="10"/>
    <n v="0"/>
    <n v="0"/>
    <n v="9"/>
    <n v="0"/>
    <x v="0"/>
    <x v="2"/>
    <x v="0"/>
    <x v="1"/>
    <x v="1"/>
  </r>
  <r>
    <x v="24"/>
    <x v="1"/>
    <x v="2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x v="1"/>
    <n v="11"/>
    <n v="3"/>
    <n v="4"/>
    <n v="1"/>
    <n v="31"/>
    <n v="3"/>
    <n v="3"/>
    <n v="31"/>
    <n v="6"/>
    <n v="14"/>
    <n v="7"/>
    <n v="0"/>
    <x v="1"/>
    <x v="3"/>
    <x v="3"/>
    <x v="3"/>
    <x v="1"/>
  </r>
  <r>
    <x v="22"/>
    <x v="1"/>
    <x v="0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x v="1"/>
    <n v="11"/>
    <n v="3"/>
    <n v="3"/>
    <n v="2"/>
    <n v="13"/>
    <n v="2"/>
    <n v="3"/>
    <n v="5"/>
    <n v="4"/>
    <n v="0"/>
    <n v="4"/>
    <n v="0"/>
    <x v="0"/>
    <x v="0"/>
    <x v="2"/>
    <x v="0"/>
    <x v="1"/>
  </r>
  <r>
    <x v="3"/>
    <x v="1"/>
    <x v="0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x v="0"/>
    <n v="11"/>
    <n v="3"/>
    <n v="3"/>
    <n v="1"/>
    <n v="7"/>
    <n v="4"/>
    <n v="4"/>
    <n v="4"/>
    <n v="3"/>
    <n v="0"/>
    <n v="3"/>
    <n v="0"/>
    <x v="2"/>
    <x v="1"/>
    <x v="2"/>
    <x v="1"/>
    <x v="3"/>
  </r>
  <r>
    <x v="5"/>
    <x v="0"/>
    <x v="0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x v="0"/>
    <n v="24"/>
    <n v="4"/>
    <n v="3"/>
    <n v="0"/>
    <n v="1"/>
    <n v="2"/>
    <n v="1"/>
    <n v="1"/>
    <n v="0"/>
    <n v="0"/>
    <n v="1"/>
    <n v="1"/>
    <x v="2"/>
    <x v="1"/>
    <x v="1"/>
    <x v="0"/>
    <x v="0"/>
  </r>
  <r>
    <x v="11"/>
    <x v="1"/>
    <x v="0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x v="1"/>
    <n v="14"/>
    <n v="3"/>
    <n v="3"/>
    <n v="3"/>
    <n v="8"/>
    <n v="5"/>
    <n v="3"/>
    <n v="4"/>
    <n v="3"/>
    <n v="0"/>
    <n v="3"/>
    <n v="0"/>
    <x v="2"/>
    <x v="1"/>
    <x v="2"/>
    <x v="0"/>
    <x v="1"/>
  </r>
  <r>
    <x v="20"/>
    <x v="1"/>
    <x v="0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x v="0"/>
    <n v="13"/>
    <n v="3"/>
    <n v="4"/>
    <n v="0"/>
    <n v="8"/>
    <n v="0"/>
    <n v="3"/>
    <n v="8"/>
    <n v="7"/>
    <n v="7"/>
    <n v="1"/>
    <n v="0"/>
    <x v="0"/>
    <x v="1"/>
    <x v="0"/>
    <x v="3"/>
    <x v="1"/>
  </r>
  <r>
    <x v="14"/>
    <x v="1"/>
    <x v="0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x v="1"/>
    <n v="14"/>
    <n v="3"/>
    <n v="2"/>
    <n v="0"/>
    <n v="4"/>
    <n v="3"/>
    <n v="3"/>
    <n v="4"/>
    <n v="2"/>
    <n v="0"/>
    <n v="2"/>
    <n v="0"/>
    <x v="2"/>
    <x v="0"/>
    <x v="2"/>
    <x v="0"/>
    <x v="1"/>
  </r>
  <r>
    <x v="34"/>
    <x v="0"/>
    <x v="1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x v="0"/>
    <n v="14"/>
    <n v="3"/>
    <n v="4"/>
    <n v="1"/>
    <n v="3"/>
    <n v="3"/>
    <n v="2"/>
    <n v="1"/>
    <n v="0"/>
    <n v="0"/>
    <n v="0"/>
    <n v="1"/>
    <x v="3"/>
    <x v="1"/>
    <x v="1"/>
    <x v="0"/>
    <x v="2"/>
  </r>
  <r>
    <x v="23"/>
    <x v="1"/>
    <x v="0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x v="1"/>
    <n v="21"/>
    <n v="4"/>
    <n v="3"/>
    <n v="1"/>
    <n v="4"/>
    <n v="2"/>
    <n v="4"/>
    <n v="1"/>
    <n v="0"/>
    <n v="0"/>
    <n v="0"/>
    <n v="0"/>
    <x v="0"/>
    <x v="0"/>
    <x v="1"/>
    <x v="1"/>
    <x v="3"/>
  </r>
  <r>
    <x v="35"/>
    <x v="0"/>
    <x v="0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x v="1"/>
    <n v="13"/>
    <n v="3"/>
    <n v="4"/>
    <n v="0"/>
    <n v="2"/>
    <n v="3"/>
    <n v="2"/>
    <n v="2"/>
    <n v="2"/>
    <n v="0"/>
    <n v="2"/>
    <n v="1"/>
    <x v="4"/>
    <x v="1"/>
    <x v="2"/>
    <x v="2"/>
    <x v="2"/>
  </r>
  <r>
    <x v="18"/>
    <x v="0"/>
    <x v="0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x v="1"/>
    <n v="19"/>
    <n v="3"/>
    <n v="1"/>
    <n v="0"/>
    <n v="1"/>
    <n v="3"/>
    <n v="2"/>
    <n v="1"/>
    <n v="0"/>
    <n v="0"/>
    <n v="0"/>
    <n v="1"/>
    <x v="4"/>
    <x v="1"/>
    <x v="1"/>
    <x v="0"/>
    <x v="2"/>
  </r>
  <r>
    <x v="9"/>
    <x v="1"/>
    <x v="0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x v="0"/>
    <n v="17"/>
    <n v="3"/>
    <n v="1"/>
    <n v="1"/>
    <n v="17"/>
    <n v="2"/>
    <n v="2"/>
    <n v="16"/>
    <n v="8"/>
    <n v="4"/>
    <n v="11"/>
    <n v="0"/>
    <x v="0"/>
    <x v="2"/>
    <x v="3"/>
    <x v="0"/>
    <x v="2"/>
  </r>
  <r>
    <x v="40"/>
    <x v="1"/>
    <x v="0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x v="0"/>
    <n v="18"/>
    <n v="3"/>
    <n v="1"/>
    <n v="0"/>
    <n v="3"/>
    <n v="3"/>
    <n v="2"/>
    <n v="3"/>
    <n v="2"/>
    <n v="1"/>
    <n v="2"/>
    <n v="0"/>
    <x v="1"/>
    <x v="0"/>
    <x v="2"/>
    <x v="0"/>
    <x v="2"/>
  </r>
  <r>
    <x v="15"/>
    <x v="0"/>
    <x v="0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x v="0"/>
    <n v="19"/>
    <n v="3"/>
    <n v="1"/>
    <n v="1"/>
    <n v="4"/>
    <n v="3"/>
    <n v="4"/>
    <n v="3"/>
    <n v="2"/>
    <n v="0"/>
    <n v="2"/>
    <n v="1"/>
    <x v="4"/>
    <x v="0"/>
    <x v="2"/>
    <x v="2"/>
    <x v="3"/>
  </r>
  <r>
    <x v="0"/>
    <x v="0"/>
    <x v="0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x v="0"/>
    <n v="13"/>
    <n v="3"/>
    <n v="3"/>
    <n v="1"/>
    <n v="10"/>
    <n v="1"/>
    <n v="2"/>
    <n v="7"/>
    <n v="7"/>
    <n v="1"/>
    <n v="0"/>
    <n v="1"/>
    <x v="0"/>
    <x v="1"/>
    <x v="0"/>
    <x v="0"/>
    <x v="2"/>
  </r>
  <r>
    <x v="14"/>
    <x v="1"/>
    <x v="0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x v="1"/>
    <n v="18"/>
    <n v="3"/>
    <n v="2"/>
    <n v="1"/>
    <n v="6"/>
    <n v="2"/>
    <n v="3"/>
    <n v="2"/>
    <n v="2"/>
    <n v="2"/>
    <n v="2"/>
    <n v="0"/>
    <x v="2"/>
    <x v="1"/>
    <x v="2"/>
    <x v="2"/>
    <x v="1"/>
  </r>
  <r>
    <x v="22"/>
    <x v="0"/>
    <x v="0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x v="0"/>
    <n v="21"/>
    <n v="4"/>
    <n v="4"/>
    <n v="0"/>
    <n v="8"/>
    <n v="2"/>
    <n v="1"/>
    <n v="2"/>
    <n v="2"/>
    <n v="2"/>
    <n v="2"/>
    <n v="1"/>
    <x v="0"/>
    <x v="1"/>
    <x v="2"/>
    <x v="3"/>
    <x v="0"/>
  </r>
  <r>
    <x v="4"/>
    <x v="1"/>
    <x v="0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x v="1"/>
    <n v="19"/>
    <n v="3"/>
    <n v="3"/>
    <n v="0"/>
    <n v="1"/>
    <n v="2"/>
    <n v="3"/>
    <n v="1"/>
    <n v="1"/>
    <n v="0"/>
    <n v="0"/>
    <n v="0"/>
    <x v="2"/>
    <x v="1"/>
    <x v="1"/>
    <x v="2"/>
    <x v="1"/>
  </r>
  <r>
    <x v="13"/>
    <x v="1"/>
    <x v="0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x v="1"/>
    <n v="14"/>
    <n v="3"/>
    <n v="2"/>
    <n v="2"/>
    <n v="1"/>
    <n v="3"/>
    <n v="3"/>
    <n v="1"/>
    <n v="0"/>
    <n v="1"/>
    <n v="0"/>
    <n v="0"/>
    <x v="2"/>
    <x v="1"/>
    <x v="1"/>
    <x v="1"/>
    <x v="1"/>
  </r>
  <r>
    <x v="19"/>
    <x v="1"/>
    <x v="0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x v="1"/>
    <n v="17"/>
    <n v="3"/>
    <n v="1"/>
    <n v="0"/>
    <n v="10"/>
    <n v="6"/>
    <n v="3"/>
    <n v="5"/>
    <n v="4"/>
    <n v="0"/>
    <n v="3"/>
    <n v="0"/>
    <x v="0"/>
    <x v="2"/>
    <x v="2"/>
    <x v="2"/>
    <x v="1"/>
  </r>
  <r>
    <x v="3"/>
    <x v="1"/>
    <x v="0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x v="0"/>
    <n v="11"/>
    <n v="3"/>
    <n v="2"/>
    <n v="0"/>
    <n v="6"/>
    <n v="1"/>
    <n v="3"/>
    <n v="3"/>
    <n v="2"/>
    <n v="0"/>
    <n v="2"/>
    <n v="0"/>
    <x v="2"/>
    <x v="1"/>
    <x v="2"/>
    <x v="3"/>
    <x v="1"/>
  </r>
  <r>
    <x v="34"/>
    <x v="1"/>
    <x v="0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x v="0"/>
    <n v="13"/>
    <n v="3"/>
    <n v="4"/>
    <n v="1"/>
    <n v="24"/>
    <n v="3"/>
    <n v="3"/>
    <n v="6"/>
    <n v="0"/>
    <n v="0"/>
    <n v="4"/>
    <n v="0"/>
    <x v="3"/>
    <x v="3"/>
    <x v="0"/>
    <x v="1"/>
    <x v="1"/>
  </r>
  <r>
    <x v="12"/>
    <x v="1"/>
    <x v="0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x v="1"/>
    <n v="15"/>
    <n v="3"/>
    <n v="2"/>
    <n v="0"/>
    <n v="13"/>
    <n v="2"/>
    <n v="4"/>
    <n v="7"/>
    <n v="7"/>
    <n v="5"/>
    <n v="2"/>
    <n v="0"/>
    <x v="2"/>
    <x v="1"/>
    <x v="0"/>
    <x v="2"/>
    <x v="3"/>
  </r>
  <r>
    <x v="10"/>
    <x v="1"/>
    <x v="0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x v="0"/>
    <n v="25"/>
    <n v="4"/>
    <n v="4"/>
    <n v="1"/>
    <n v="10"/>
    <n v="2"/>
    <n v="1"/>
    <n v="10"/>
    <n v="6"/>
    <n v="0"/>
    <n v="7"/>
    <n v="0"/>
    <x v="2"/>
    <x v="0"/>
    <x v="0"/>
    <x v="0"/>
    <x v="0"/>
  </r>
  <r>
    <x v="1"/>
    <x v="1"/>
    <x v="0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x v="1"/>
    <n v="11"/>
    <n v="3"/>
    <n v="3"/>
    <n v="1"/>
    <n v="29"/>
    <n v="3"/>
    <n v="2"/>
    <n v="26"/>
    <n v="9"/>
    <n v="1"/>
    <n v="7"/>
    <n v="0"/>
    <x v="1"/>
    <x v="2"/>
    <x v="3"/>
    <x v="1"/>
    <x v="2"/>
  </r>
  <r>
    <x v="26"/>
    <x v="1"/>
    <x v="0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x v="1"/>
    <n v="17"/>
    <n v="3"/>
    <n v="1"/>
    <n v="2"/>
    <n v="13"/>
    <n v="2"/>
    <n v="2"/>
    <n v="0"/>
    <n v="0"/>
    <n v="0"/>
    <n v="0"/>
    <n v="0"/>
    <x v="1"/>
    <x v="1"/>
    <x v="1"/>
    <x v="2"/>
    <x v="2"/>
  </r>
  <r>
    <x v="12"/>
    <x v="1"/>
    <x v="2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x v="1"/>
    <n v="13"/>
    <n v="3"/>
    <n v="4"/>
    <n v="1"/>
    <n v="9"/>
    <n v="2"/>
    <n v="2"/>
    <n v="9"/>
    <n v="8"/>
    <n v="0"/>
    <n v="0"/>
    <n v="0"/>
    <x v="2"/>
    <x v="2"/>
    <x v="0"/>
    <x v="2"/>
    <x v="2"/>
  </r>
  <r>
    <x v="9"/>
    <x v="1"/>
    <x v="0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x v="1"/>
    <n v="18"/>
    <n v="3"/>
    <n v="3"/>
    <n v="0"/>
    <n v="8"/>
    <n v="6"/>
    <n v="3"/>
    <n v="6"/>
    <n v="2"/>
    <n v="0"/>
    <n v="1"/>
    <n v="0"/>
    <x v="0"/>
    <x v="0"/>
    <x v="0"/>
    <x v="0"/>
    <x v="1"/>
  </r>
  <r>
    <x v="8"/>
    <x v="1"/>
    <x v="0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  <n v="0"/>
    <x v="0"/>
    <x v="3"/>
    <x v="3"/>
    <x v="3"/>
    <x v="1"/>
  </r>
  <r>
    <x v="5"/>
    <x v="1"/>
    <x v="2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x v="1"/>
    <n v="20"/>
    <n v="4"/>
    <n v="3"/>
    <n v="0"/>
    <n v="5"/>
    <n v="3"/>
    <n v="3"/>
    <n v="3"/>
    <n v="0"/>
    <n v="0"/>
    <n v="2"/>
    <n v="0"/>
    <x v="2"/>
    <x v="1"/>
    <x v="2"/>
    <x v="1"/>
    <x v="1"/>
  </r>
  <r>
    <x v="36"/>
    <x v="0"/>
    <x v="0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x v="0"/>
    <n v="18"/>
    <n v="3"/>
    <n v="3"/>
    <n v="3"/>
    <n v="1"/>
    <n v="2"/>
    <n v="3"/>
    <n v="1"/>
    <n v="0"/>
    <n v="0"/>
    <n v="0"/>
    <n v="1"/>
    <x v="4"/>
    <x v="1"/>
    <x v="1"/>
    <x v="1"/>
    <x v="1"/>
  </r>
  <r>
    <x v="32"/>
    <x v="1"/>
    <x v="0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x v="1"/>
    <n v="12"/>
    <n v="3"/>
    <n v="2"/>
    <n v="1"/>
    <n v="11"/>
    <n v="2"/>
    <n v="2"/>
    <n v="1"/>
    <n v="0"/>
    <n v="0"/>
    <n v="0"/>
    <n v="0"/>
    <x v="0"/>
    <x v="2"/>
    <x v="1"/>
    <x v="1"/>
    <x v="2"/>
  </r>
  <r>
    <x v="25"/>
    <x v="1"/>
    <x v="1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x v="1"/>
    <n v="12"/>
    <n v="3"/>
    <n v="2"/>
    <n v="0"/>
    <n v="7"/>
    <n v="2"/>
    <n v="3"/>
    <n v="7"/>
    <n v="7"/>
    <n v="0"/>
    <n v="7"/>
    <n v="0"/>
    <x v="2"/>
    <x v="0"/>
    <x v="0"/>
    <x v="3"/>
    <x v="1"/>
  </r>
  <r>
    <x v="0"/>
    <x v="1"/>
    <x v="0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x v="0"/>
    <n v="13"/>
    <n v="3"/>
    <n v="3"/>
    <n v="0"/>
    <n v="20"/>
    <n v="3"/>
    <n v="3"/>
    <n v="18"/>
    <n v="13"/>
    <n v="2"/>
    <n v="17"/>
    <n v="0"/>
    <x v="0"/>
    <x v="0"/>
    <x v="3"/>
    <x v="3"/>
    <x v="1"/>
  </r>
  <r>
    <x v="9"/>
    <x v="1"/>
    <x v="0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x v="1"/>
    <n v="21"/>
    <n v="4"/>
    <n v="3"/>
    <n v="0"/>
    <n v="16"/>
    <n v="6"/>
    <n v="3"/>
    <n v="11"/>
    <n v="8"/>
    <n v="3"/>
    <n v="9"/>
    <n v="0"/>
    <x v="0"/>
    <x v="1"/>
    <x v="3"/>
    <x v="2"/>
    <x v="1"/>
  </r>
  <r>
    <x v="37"/>
    <x v="0"/>
    <x v="0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x v="0"/>
    <n v="13"/>
    <n v="3"/>
    <n v="2"/>
    <n v="0"/>
    <n v="1"/>
    <n v="3"/>
    <n v="4"/>
    <n v="1"/>
    <n v="0"/>
    <n v="0"/>
    <n v="0"/>
    <n v="1"/>
    <x v="4"/>
    <x v="1"/>
    <x v="1"/>
    <x v="1"/>
    <x v="3"/>
  </r>
  <r>
    <x v="35"/>
    <x v="0"/>
    <x v="0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x v="1"/>
    <n v="19"/>
    <n v="3"/>
    <n v="2"/>
    <n v="0"/>
    <n v="1"/>
    <n v="2"/>
    <n v="3"/>
    <n v="1"/>
    <n v="0"/>
    <n v="0"/>
    <n v="0"/>
    <n v="1"/>
    <x v="4"/>
    <x v="1"/>
    <x v="1"/>
    <x v="3"/>
    <x v="1"/>
  </r>
  <r>
    <x v="12"/>
    <x v="1"/>
    <x v="0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x v="0"/>
    <n v="11"/>
    <n v="3"/>
    <n v="3"/>
    <n v="2"/>
    <n v="10"/>
    <n v="2"/>
    <n v="1"/>
    <n v="9"/>
    <n v="7"/>
    <n v="8"/>
    <n v="5"/>
    <n v="0"/>
    <x v="2"/>
    <x v="0"/>
    <x v="0"/>
    <x v="0"/>
    <x v="0"/>
  </r>
  <r>
    <x v="32"/>
    <x v="1"/>
    <x v="1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x v="0"/>
    <n v="14"/>
    <n v="3"/>
    <n v="4"/>
    <n v="1"/>
    <n v="3"/>
    <n v="2"/>
    <n v="3"/>
    <n v="1"/>
    <n v="1"/>
    <n v="0"/>
    <n v="0"/>
    <n v="0"/>
    <x v="0"/>
    <x v="0"/>
    <x v="1"/>
    <x v="1"/>
    <x v="1"/>
  </r>
  <r>
    <x v="5"/>
    <x v="1"/>
    <x v="0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x v="1"/>
    <n v="12"/>
    <n v="3"/>
    <n v="3"/>
    <n v="1"/>
    <n v="8"/>
    <n v="2"/>
    <n v="4"/>
    <n v="8"/>
    <n v="7"/>
    <n v="6"/>
    <n v="3"/>
    <n v="0"/>
    <x v="2"/>
    <x v="2"/>
    <x v="0"/>
    <x v="3"/>
    <x v="3"/>
  </r>
  <r>
    <x v="9"/>
    <x v="0"/>
    <x v="0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x v="0"/>
    <n v="11"/>
    <n v="3"/>
    <n v="1"/>
    <n v="1"/>
    <n v="16"/>
    <n v="6"/>
    <n v="3"/>
    <n v="16"/>
    <n v="7"/>
    <n v="3"/>
    <n v="7"/>
    <n v="1"/>
    <x v="0"/>
    <x v="3"/>
    <x v="3"/>
    <x v="0"/>
    <x v="1"/>
  </r>
  <r>
    <x v="3"/>
    <x v="1"/>
    <x v="0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x v="1"/>
    <n v="14"/>
    <n v="3"/>
    <n v="1"/>
    <n v="0"/>
    <n v="6"/>
    <n v="3"/>
    <n v="3"/>
    <n v="5"/>
    <n v="0"/>
    <n v="1"/>
    <n v="4"/>
    <n v="0"/>
    <x v="2"/>
    <x v="2"/>
    <x v="2"/>
    <x v="0"/>
    <x v="1"/>
  </r>
  <r>
    <x v="2"/>
    <x v="0"/>
    <x v="0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x v="1"/>
    <n v="11"/>
    <n v="3"/>
    <n v="3"/>
    <n v="0"/>
    <n v="17"/>
    <n v="2"/>
    <n v="1"/>
    <n v="14"/>
    <n v="1"/>
    <n v="11"/>
    <n v="7"/>
    <n v="1"/>
    <x v="0"/>
    <x v="3"/>
    <x v="3"/>
    <x v="2"/>
    <x v="0"/>
  </r>
  <r>
    <x v="28"/>
    <x v="1"/>
    <x v="2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x v="1"/>
    <n v="12"/>
    <n v="3"/>
    <n v="2"/>
    <n v="0"/>
    <n v="9"/>
    <n v="5"/>
    <n v="2"/>
    <n v="9"/>
    <n v="7"/>
    <n v="0"/>
    <n v="8"/>
    <n v="0"/>
    <x v="0"/>
    <x v="0"/>
    <x v="0"/>
    <x v="1"/>
    <x v="2"/>
  </r>
  <r>
    <x v="11"/>
    <x v="1"/>
    <x v="1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x v="1"/>
    <n v="15"/>
    <n v="3"/>
    <n v="2"/>
    <n v="1"/>
    <n v="3"/>
    <n v="5"/>
    <n v="3"/>
    <n v="3"/>
    <n v="1"/>
    <n v="0"/>
    <n v="2"/>
    <n v="0"/>
    <x v="2"/>
    <x v="1"/>
    <x v="2"/>
    <x v="0"/>
    <x v="1"/>
  </r>
  <r>
    <x v="10"/>
    <x v="1"/>
    <x v="0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x v="1"/>
    <n v="16"/>
    <n v="3"/>
    <n v="2"/>
    <n v="0"/>
    <n v="5"/>
    <n v="3"/>
    <n v="3"/>
    <n v="5"/>
    <n v="2"/>
    <n v="1"/>
    <n v="0"/>
    <n v="0"/>
    <x v="2"/>
    <x v="0"/>
    <x v="2"/>
    <x v="2"/>
    <x v="1"/>
  </r>
  <r>
    <x v="39"/>
    <x v="1"/>
    <x v="0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x v="1"/>
    <n v="15"/>
    <n v="3"/>
    <n v="2"/>
    <n v="1"/>
    <n v="26"/>
    <n v="2"/>
    <n v="2"/>
    <n v="9"/>
    <n v="8"/>
    <n v="7"/>
    <n v="8"/>
    <n v="0"/>
    <x v="1"/>
    <x v="3"/>
    <x v="0"/>
    <x v="0"/>
    <x v="2"/>
  </r>
  <r>
    <x v="34"/>
    <x v="0"/>
    <x v="0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x v="1"/>
    <n v="24"/>
    <n v="4"/>
    <n v="1"/>
    <n v="0"/>
    <n v="7"/>
    <n v="4"/>
    <n v="3"/>
    <n v="1"/>
    <n v="0"/>
    <n v="0"/>
    <n v="0"/>
    <n v="1"/>
    <x v="3"/>
    <x v="1"/>
    <x v="1"/>
    <x v="2"/>
    <x v="1"/>
  </r>
  <r>
    <x v="16"/>
    <x v="1"/>
    <x v="0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  <n v="0"/>
    <x v="1"/>
    <x v="3"/>
    <x v="3"/>
    <x v="2"/>
    <x v="3"/>
  </r>
  <r>
    <x v="7"/>
    <x v="1"/>
    <x v="0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x v="1"/>
    <n v="11"/>
    <n v="3"/>
    <n v="1"/>
    <n v="1"/>
    <n v="10"/>
    <n v="2"/>
    <n v="4"/>
    <n v="8"/>
    <n v="4"/>
    <n v="7"/>
    <n v="7"/>
    <n v="0"/>
    <x v="2"/>
    <x v="2"/>
    <x v="0"/>
    <x v="2"/>
    <x v="3"/>
  </r>
  <r>
    <x v="8"/>
    <x v="1"/>
    <x v="2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x v="0"/>
    <n v="13"/>
    <n v="3"/>
    <n v="2"/>
    <n v="0"/>
    <n v="6"/>
    <n v="1"/>
    <n v="3"/>
    <n v="5"/>
    <n v="3"/>
    <n v="1"/>
    <n v="3"/>
    <n v="0"/>
    <x v="0"/>
    <x v="0"/>
    <x v="2"/>
    <x v="0"/>
    <x v="1"/>
  </r>
  <r>
    <x v="10"/>
    <x v="1"/>
    <x v="0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x v="1"/>
    <n v="13"/>
    <n v="3"/>
    <n v="2"/>
    <n v="1"/>
    <n v="12"/>
    <n v="2"/>
    <n v="3"/>
    <n v="10"/>
    <n v="9"/>
    <n v="0"/>
    <n v="8"/>
    <n v="0"/>
    <x v="2"/>
    <x v="2"/>
    <x v="0"/>
    <x v="0"/>
    <x v="1"/>
  </r>
  <r>
    <x v="22"/>
    <x v="1"/>
    <x v="0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x v="1"/>
    <n v="18"/>
    <n v="3"/>
    <n v="4"/>
    <n v="0"/>
    <n v="9"/>
    <n v="3"/>
    <n v="3"/>
    <n v="8"/>
    <n v="7"/>
    <n v="0"/>
    <n v="7"/>
    <n v="0"/>
    <x v="0"/>
    <x v="2"/>
    <x v="0"/>
    <x v="2"/>
    <x v="1"/>
  </r>
  <r>
    <x v="32"/>
    <x v="0"/>
    <x v="2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x v="0"/>
    <n v="16"/>
    <n v="3"/>
    <n v="4"/>
    <n v="0"/>
    <n v="22"/>
    <n v="2"/>
    <n v="2"/>
    <n v="1"/>
    <n v="0"/>
    <n v="0"/>
    <n v="0"/>
    <n v="1"/>
    <x v="0"/>
    <x v="3"/>
    <x v="1"/>
    <x v="1"/>
    <x v="2"/>
  </r>
  <r>
    <x v="40"/>
    <x v="1"/>
    <x v="1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x v="0"/>
    <n v="19"/>
    <n v="3"/>
    <n v="3"/>
    <n v="0"/>
    <n v="20"/>
    <n v="3"/>
    <n v="4"/>
    <n v="19"/>
    <n v="10"/>
    <n v="2"/>
    <n v="7"/>
    <n v="0"/>
    <x v="1"/>
    <x v="0"/>
    <x v="3"/>
    <x v="2"/>
    <x v="3"/>
  </r>
  <r>
    <x v="9"/>
    <x v="1"/>
    <x v="2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x v="1"/>
    <n v="13"/>
    <n v="3"/>
    <n v="4"/>
    <n v="2"/>
    <n v="12"/>
    <n v="3"/>
    <n v="3"/>
    <n v="7"/>
    <n v="7"/>
    <n v="0"/>
    <n v="7"/>
    <n v="0"/>
    <x v="0"/>
    <x v="0"/>
    <x v="0"/>
    <x v="0"/>
    <x v="1"/>
  </r>
  <r>
    <x v="12"/>
    <x v="0"/>
    <x v="2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x v="0"/>
    <n v="22"/>
    <n v="4"/>
    <n v="1"/>
    <n v="0"/>
    <n v="4"/>
    <n v="0"/>
    <n v="3"/>
    <n v="3"/>
    <n v="2"/>
    <n v="1"/>
    <n v="2"/>
    <n v="1"/>
    <x v="2"/>
    <x v="1"/>
    <x v="2"/>
    <x v="3"/>
    <x v="1"/>
  </r>
  <r>
    <x v="3"/>
    <x v="1"/>
    <x v="2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x v="1"/>
    <n v="11"/>
    <n v="3"/>
    <n v="4"/>
    <n v="0"/>
    <n v="10"/>
    <n v="2"/>
    <n v="3"/>
    <n v="10"/>
    <n v="8"/>
    <n v="6"/>
    <n v="0"/>
    <n v="0"/>
    <x v="2"/>
    <x v="3"/>
    <x v="0"/>
    <x v="2"/>
    <x v="1"/>
  </r>
  <r>
    <x v="11"/>
    <x v="0"/>
    <x v="0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x v="0"/>
    <n v="20"/>
    <n v="4"/>
    <n v="3"/>
    <n v="0"/>
    <n v="3"/>
    <n v="5"/>
    <n v="3"/>
    <n v="0"/>
    <n v="0"/>
    <n v="0"/>
    <n v="0"/>
    <n v="1"/>
    <x v="2"/>
    <x v="1"/>
    <x v="1"/>
    <x v="3"/>
    <x v="1"/>
  </r>
  <r>
    <x v="3"/>
    <x v="1"/>
    <x v="0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x v="1"/>
    <n v="18"/>
    <n v="3"/>
    <n v="1"/>
    <n v="0"/>
    <n v="5"/>
    <n v="4"/>
    <n v="3"/>
    <n v="3"/>
    <n v="2"/>
    <n v="0"/>
    <n v="2"/>
    <n v="0"/>
    <x v="2"/>
    <x v="0"/>
    <x v="2"/>
    <x v="0"/>
    <x v="1"/>
  </r>
  <r>
    <x v="28"/>
    <x v="1"/>
    <x v="0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x v="1"/>
    <n v="14"/>
    <n v="3"/>
    <n v="4"/>
    <n v="2"/>
    <n v="8"/>
    <n v="2"/>
    <n v="3"/>
    <n v="5"/>
    <n v="3"/>
    <n v="0"/>
    <n v="2"/>
    <n v="0"/>
    <x v="0"/>
    <x v="1"/>
    <x v="2"/>
    <x v="0"/>
    <x v="1"/>
  </r>
  <r>
    <x v="24"/>
    <x v="1"/>
    <x v="0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x v="1"/>
    <n v="22"/>
    <n v="4"/>
    <n v="3"/>
    <n v="1"/>
    <n v="32"/>
    <n v="1"/>
    <n v="2"/>
    <n v="5"/>
    <n v="4"/>
    <n v="1"/>
    <n v="3"/>
    <n v="0"/>
    <x v="1"/>
    <x v="3"/>
    <x v="2"/>
    <x v="0"/>
    <x v="2"/>
  </r>
  <r>
    <x v="3"/>
    <x v="1"/>
    <x v="1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x v="0"/>
    <n v="13"/>
    <n v="3"/>
    <n v="1"/>
    <n v="1"/>
    <n v="6"/>
    <n v="2"/>
    <n v="3"/>
    <n v="6"/>
    <n v="5"/>
    <n v="1"/>
    <n v="2"/>
    <n v="0"/>
    <x v="2"/>
    <x v="0"/>
    <x v="0"/>
    <x v="1"/>
    <x v="1"/>
  </r>
  <r>
    <x v="0"/>
    <x v="1"/>
    <x v="1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  <n v="0"/>
    <x v="0"/>
    <x v="3"/>
    <x v="3"/>
    <x v="2"/>
    <x v="3"/>
  </r>
  <r>
    <x v="4"/>
    <x v="1"/>
    <x v="0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x v="1"/>
    <n v="14"/>
    <n v="3"/>
    <n v="2"/>
    <n v="1"/>
    <n v="4"/>
    <n v="2"/>
    <n v="3"/>
    <n v="2"/>
    <n v="2"/>
    <n v="2"/>
    <n v="2"/>
    <n v="0"/>
    <x v="2"/>
    <x v="1"/>
    <x v="2"/>
    <x v="1"/>
    <x v="1"/>
  </r>
  <r>
    <x v="28"/>
    <x v="1"/>
    <x v="2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x v="0"/>
    <n v="15"/>
    <n v="3"/>
    <n v="3"/>
    <n v="1"/>
    <n v="9"/>
    <n v="2"/>
    <n v="3"/>
    <n v="9"/>
    <n v="8"/>
    <n v="0"/>
    <n v="8"/>
    <n v="0"/>
    <x v="0"/>
    <x v="0"/>
    <x v="0"/>
    <x v="3"/>
    <x v="1"/>
  </r>
  <r>
    <x v="40"/>
    <x v="1"/>
    <x v="0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x v="0"/>
    <n v="17"/>
    <n v="3"/>
    <n v="3"/>
    <n v="0"/>
    <n v="9"/>
    <n v="0"/>
    <n v="3"/>
    <n v="9"/>
    <n v="0"/>
    <n v="0"/>
    <n v="7"/>
    <n v="0"/>
    <x v="1"/>
    <x v="0"/>
    <x v="0"/>
    <x v="0"/>
    <x v="1"/>
  </r>
  <r>
    <x v="7"/>
    <x v="0"/>
    <x v="0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x v="0"/>
    <n v="11"/>
    <n v="3"/>
    <n v="2"/>
    <n v="0"/>
    <n v="7"/>
    <n v="2"/>
    <n v="3"/>
    <n v="5"/>
    <n v="2"/>
    <n v="0"/>
    <n v="1"/>
    <n v="1"/>
    <x v="2"/>
    <x v="1"/>
    <x v="2"/>
    <x v="2"/>
    <x v="1"/>
  </r>
  <r>
    <x v="24"/>
    <x v="1"/>
    <x v="0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x v="0"/>
    <n v="18"/>
    <n v="3"/>
    <n v="4"/>
    <n v="1"/>
    <n v="22"/>
    <n v="2"/>
    <n v="3"/>
    <n v="12"/>
    <n v="11"/>
    <n v="1"/>
    <n v="5"/>
    <n v="0"/>
    <x v="1"/>
    <x v="3"/>
    <x v="3"/>
    <x v="2"/>
    <x v="1"/>
  </r>
  <r>
    <x v="8"/>
    <x v="1"/>
    <x v="1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x v="1"/>
    <n v="17"/>
    <n v="3"/>
    <n v="2"/>
    <n v="1"/>
    <n v="3"/>
    <n v="0"/>
    <n v="2"/>
    <n v="2"/>
    <n v="1"/>
    <n v="0"/>
    <n v="2"/>
    <n v="0"/>
    <x v="0"/>
    <x v="1"/>
    <x v="2"/>
    <x v="2"/>
    <x v="2"/>
  </r>
  <r>
    <x v="21"/>
    <x v="1"/>
    <x v="0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x v="1"/>
    <n v="13"/>
    <n v="3"/>
    <n v="2"/>
    <n v="1"/>
    <n v="13"/>
    <n v="3"/>
    <n v="3"/>
    <n v="8"/>
    <n v="7"/>
    <n v="0"/>
    <n v="7"/>
    <n v="0"/>
    <x v="1"/>
    <x v="3"/>
    <x v="0"/>
    <x v="2"/>
    <x v="1"/>
  </r>
  <r>
    <x v="17"/>
    <x v="1"/>
    <x v="0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x v="1"/>
    <n v="15"/>
    <n v="3"/>
    <n v="2"/>
    <n v="2"/>
    <n v="5"/>
    <n v="6"/>
    <n v="3"/>
    <n v="4"/>
    <n v="2"/>
    <n v="3"/>
    <n v="2"/>
    <n v="0"/>
    <x v="4"/>
    <x v="0"/>
    <x v="2"/>
    <x v="2"/>
    <x v="1"/>
  </r>
  <r>
    <x v="10"/>
    <x v="0"/>
    <x v="0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x v="0"/>
    <n v="24"/>
    <n v="4"/>
    <n v="4"/>
    <n v="1"/>
    <n v="5"/>
    <n v="2"/>
    <n v="1"/>
    <n v="4"/>
    <n v="2"/>
    <n v="0"/>
    <n v="2"/>
    <n v="1"/>
    <x v="2"/>
    <x v="0"/>
    <x v="2"/>
    <x v="1"/>
    <x v="0"/>
  </r>
  <r>
    <x v="12"/>
    <x v="1"/>
    <x v="1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x v="1"/>
    <n v="12"/>
    <n v="3"/>
    <n v="3"/>
    <n v="1"/>
    <n v="4"/>
    <n v="1"/>
    <n v="3"/>
    <n v="4"/>
    <n v="3"/>
    <n v="0"/>
    <n v="3"/>
    <n v="0"/>
    <x v="2"/>
    <x v="0"/>
    <x v="2"/>
    <x v="3"/>
    <x v="1"/>
  </r>
  <r>
    <x v="41"/>
    <x v="1"/>
    <x v="2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x v="1"/>
    <n v="15"/>
    <n v="3"/>
    <n v="4"/>
    <n v="0"/>
    <n v="0"/>
    <n v="2"/>
    <n v="3"/>
    <n v="0"/>
    <n v="0"/>
    <n v="0"/>
    <n v="0"/>
    <n v="0"/>
    <x v="4"/>
    <x v="1"/>
    <x v="1"/>
    <x v="0"/>
    <x v="1"/>
  </r>
  <r>
    <x v="33"/>
    <x v="1"/>
    <x v="0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x v="1"/>
    <n v="11"/>
    <n v="3"/>
    <n v="3"/>
    <n v="1"/>
    <n v="22"/>
    <n v="2"/>
    <n v="3"/>
    <n v="10"/>
    <n v="7"/>
    <n v="0"/>
    <n v="8"/>
    <n v="0"/>
    <x v="1"/>
    <x v="3"/>
    <x v="0"/>
    <x v="2"/>
    <x v="1"/>
  </r>
  <r>
    <x v="10"/>
    <x v="1"/>
    <x v="0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  <n v="0"/>
    <x v="2"/>
    <x v="3"/>
    <x v="3"/>
    <x v="2"/>
    <x v="2"/>
  </r>
  <r>
    <x v="7"/>
    <x v="1"/>
    <x v="0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x v="0"/>
    <n v="12"/>
    <n v="3"/>
    <n v="3"/>
    <n v="3"/>
    <n v="9"/>
    <n v="4"/>
    <n v="2"/>
    <n v="8"/>
    <n v="7"/>
    <n v="1"/>
    <n v="7"/>
    <n v="0"/>
    <x v="2"/>
    <x v="3"/>
    <x v="0"/>
    <x v="3"/>
    <x v="2"/>
  </r>
  <r>
    <x v="35"/>
    <x v="0"/>
    <x v="0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x v="0"/>
    <n v="15"/>
    <n v="3"/>
    <n v="1"/>
    <n v="0"/>
    <n v="1"/>
    <n v="2"/>
    <n v="3"/>
    <n v="1"/>
    <n v="0"/>
    <n v="0"/>
    <n v="0"/>
    <n v="1"/>
    <x v="4"/>
    <x v="1"/>
    <x v="1"/>
    <x v="3"/>
    <x v="1"/>
  </r>
  <r>
    <x v="7"/>
    <x v="0"/>
    <x v="1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x v="1"/>
    <n v="17"/>
    <n v="3"/>
    <n v="1"/>
    <n v="0"/>
    <n v="4"/>
    <n v="3"/>
    <n v="3"/>
    <n v="3"/>
    <n v="2"/>
    <n v="1"/>
    <n v="2"/>
    <n v="1"/>
    <x v="2"/>
    <x v="1"/>
    <x v="2"/>
    <x v="1"/>
    <x v="1"/>
  </r>
  <r>
    <x v="25"/>
    <x v="1"/>
    <x v="0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x v="1"/>
    <n v="12"/>
    <n v="3"/>
    <n v="2"/>
    <n v="0"/>
    <n v="8"/>
    <n v="2"/>
    <n v="3"/>
    <n v="8"/>
    <n v="7"/>
    <n v="1"/>
    <n v="3"/>
    <n v="0"/>
    <x v="2"/>
    <x v="0"/>
    <x v="0"/>
    <x v="0"/>
    <x v="1"/>
  </r>
  <r>
    <x v="15"/>
    <x v="1"/>
    <x v="0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x v="1"/>
    <n v="15"/>
    <n v="3"/>
    <n v="1"/>
    <n v="1"/>
    <n v="4"/>
    <n v="3"/>
    <n v="2"/>
    <n v="4"/>
    <n v="3"/>
    <n v="1"/>
    <n v="1"/>
    <n v="0"/>
    <x v="4"/>
    <x v="1"/>
    <x v="2"/>
    <x v="3"/>
    <x v="2"/>
  </r>
  <r>
    <x v="26"/>
    <x v="1"/>
    <x v="0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x v="1"/>
    <n v="13"/>
    <n v="3"/>
    <n v="4"/>
    <n v="0"/>
    <n v="19"/>
    <n v="0"/>
    <n v="3"/>
    <n v="2"/>
    <n v="2"/>
    <n v="2"/>
    <n v="2"/>
    <n v="0"/>
    <x v="1"/>
    <x v="0"/>
    <x v="2"/>
    <x v="2"/>
    <x v="1"/>
  </r>
  <r>
    <x v="26"/>
    <x v="1"/>
    <x v="0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x v="1"/>
    <n v="14"/>
    <n v="3"/>
    <n v="2"/>
    <n v="0"/>
    <n v="27"/>
    <n v="3"/>
    <n v="3"/>
    <n v="15"/>
    <n v="11"/>
    <n v="4"/>
    <n v="8"/>
    <n v="0"/>
    <x v="1"/>
    <x v="3"/>
    <x v="3"/>
    <x v="2"/>
    <x v="1"/>
  </r>
  <r>
    <x v="0"/>
    <x v="1"/>
    <x v="0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x v="1"/>
    <n v="14"/>
    <n v="3"/>
    <n v="2"/>
    <n v="0"/>
    <n v="8"/>
    <n v="6"/>
    <n v="3"/>
    <n v="2"/>
    <n v="2"/>
    <n v="2"/>
    <n v="1"/>
    <n v="0"/>
    <x v="0"/>
    <x v="0"/>
    <x v="2"/>
    <x v="2"/>
    <x v="1"/>
  </r>
  <r>
    <x v="22"/>
    <x v="1"/>
    <x v="0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x v="1"/>
    <n v="16"/>
    <n v="3"/>
    <n v="3"/>
    <n v="1"/>
    <n v="21"/>
    <n v="3"/>
    <n v="3"/>
    <n v="21"/>
    <n v="6"/>
    <n v="11"/>
    <n v="8"/>
    <n v="0"/>
    <x v="0"/>
    <x v="3"/>
    <x v="3"/>
    <x v="0"/>
    <x v="1"/>
  </r>
  <r>
    <x v="4"/>
    <x v="1"/>
    <x v="0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x v="1"/>
    <n v="18"/>
    <n v="3"/>
    <n v="2"/>
    <n v="1"/>
    <n v="4"/>
    <n v="2"/>
    <n v="3"/>
    <n v="3"/>
    <n v="2"/>
    <n v="2"/>
    <n v="2"/>
    <n v="0"/>
    <x v="2"/>
    <x v="0"/>
    <x v="2"/>
    <x v="0"/>
    <x v="1"/>
  </r>
  <r>
    <x v="10"/>
    <x v="1"/>
    <x v="0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x v="1"/>
    <n v="20"/>
    <n v="4"/>
    <n v="1"/>
    <n v="1"/>
    <n v="3"/>
    <n v="4"/>
    <n v="2"/>
    <n v="3"/>
    <n v="2"/>
    <n v="1"/>
    <n v="2"/>
    <n v="0"/>
    <x v="2"/>
    <x v="0"/>
    <x v="2"/>
    <x v="0"/>
    <x v="2"/>
  </r>
  <r>
    <x v="19"/>
    <x v="1"/>
    <x v="0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x v="1"/>
    <n v="13"/>
    <n v="3"/>
    <n v="2"/>
    <n v="0"/>
    <n v="21"/>
    <n v="3"/>
    <n v="4"/>
    <n v="1"/>
    <n v="0"/>
    <n v="0"/>
    <n v="0"/>
    <n v="0"/>
    <x v="0"/>
    <x v="3"/>
    <x v="1"/>
    <x v="2"/>
    <x v="3"/>
  </r>
  <r>
    <x v="24"/>
    <x v="1"/>
    <x v="0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x v="1"/>
    <n v="18"/>
    <n v="3"/>
    <n v="2"/>
    <n v="0"/>
    <n v="8"/>
    <n v="5"/>
    <n v="3"/>
    <n v="1"/>
    <n v="0"/>
    <n v="0"/>
    <n v="0"/>
    <n v="0"/>
    <x v="1"/>
    <x v="1"/>
    <x v="1"/>
    <x v="0"/>
    <x v="1"/>
  </r>
  <r>
    <x v="6"/>
    <x v="1"/>
    <x v="0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x v="0"/>
    <n v="13"/>
    <n v="3"/>
    <n v="1"/>
    <n v="0"/>
    <n v="30"/>
    <n v="4"/>
    <n v="3"/>
    <n v="5"/>
    <n v="3"/>
    <n v="4"/>
    <n v="3"/>
    <n v="0"/>
    <x v="3"/>
    <x v="3"/>
    <x v="2"/>
    <x v="0"/>
    <x v="1"/>
  </r>
  <r>
    <x v="2"/>
    <x v="0"/>
    <x v="0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x v="1"/>
    <n v="15"/>
    <n v="3"/>
    <n v="1"/>
    <n v="0"/>
    <n v="15"/>
    <n v="2"/>
    <n v="1"/>
    <n v="1"/>
    <n v="0"/>
    <n v="0"/>
    <n v="0"/>
    <n v="1"/>
    <x v="0"/>
    <x v="0"/>
    <x v="1"/>
    <x v="1"/>
    <x v="0"/>
  </r>
  <r>
    <x v="27"/>
    <x v="1"/>
    <x v="1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x v="0"/>
    <n v="14"/>
    <n v="3"/>
    <n v="4"/>
    <n v="2"/>
    <n v="17"/>
    <n v="3"/>
    <n v="3"/>
    <n v="8"/>
    <n v="7"/>
    <n v="6"/>
    <n v="7"/>
    <n v="0"/>
    <x v="1"/>
    <x v="2"/>
    <x v="0"/>
    <x v="1"/>
    <x v="1"/>
  </r>
  <r>
    <x v="0"/>
    <x v="1"/>
    <x v="2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  <n v="0"/>
    <x v="0"/>
    <x v="3"/>
    <x v="3"/>
    <x v="2"/>
    <x v="1"/>
  </r>
  <r>
    <x v="8"/>
    <x v="1"/>
    <x v="0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x v="0"/>
    <n v="12"/>
    <n v="3"/>
    <n v="3"/>
    <n v="0"/>
    <n v="19"/>
    <n v="1"/>
    <n v="3"/>
    <n v="1"/>
    <n v="0"/>
    <n v="0"/>
    <n v="0"/>
    <n v="0"/>
    <x v="0"/>
    <x v="2"/>
    <x v="1"/>
    <x v="0"/>
    <x v="1"/>
  </r>
  <r>
    <x v="25"/>
    <x v="0"/>
    <x v="2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x v="1"/>
    <n v="18"/>
    <n v="3"/>
    <n v="4"/>
    <n v="0"/>
    <n v="7"/>
    <n v="6"/>
    <n v="3"/>
    <n v="2"/>
    <n v="2"/>
    <n v="2"/>
    <n v="2"/>
    <n v="1"/>
    <x v="2"/>
    <x v="0"/>
    <x v="2"/>
    <x v="3"/>
    <x v="1"/>
  </r>
  <r>
    <x v="39"/>
    <x v="0"/>
    <x v="0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x v="1"/>
    <n v="15"/>
    <n v="3"/>
    <n v="4"/>
    <n v="1"/>
    <n v="33"/>
    <n v="3"/>
    <n v="3"/>
    <n v="32"/>
    <n v="14"/>
    <n v="6"/>
    <n v="9"/>
    <n v="1"/>
    <x v="1"/>
    <x v="3"/>
    <x v="3"/>
    <x v="0"/>
    <x v="1"/>
  </r>
  <r>
    <x v="20"/>
    <x v="1"/>
    <x v="0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  <n v="0"/>
    <x v="0"/>
    <x v="3"/>
    <x v="3"/>
    <x v="0"/>
    <x v="1"/>
  </r>
  <r>
    <x v="24"/>
    <x v="1"/>
    <x v="2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x v="1"/>
    <n v="12"/>
    <n v="3"/>
    <n v="1"/>
    <n v="1"/>
    <n v="19"/>
    <n v="3"/>
    <n v="3"/>
    <n v="18"/>
    <n v="7"/>
    <n v="0"/>
    <n v="13"/>
    <n v="0"/>
    <x v="1"/>
    <x v="2"/>
    <x v="3"/>
    <x v="2"/>
    <x v="1"/>
  </r>
  <r>
    <x v="9"/>
    <x v="0"/>
    <x v="0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x v="1"/>
    <n v="16"/>
    <n v="3"/>
    <n v="3"/>
    <n v="0"/>
    <n v="18"/>
    <n v="1"/>
    <n v="3"/>
    <n v="17"/>
    <n v="13"/>
    <n v="15"/>
    <n v="14"/>
    <n v="1"/>
    <x v="0"/>
    <x v="1"/>
    <x v="3"/>
    <x v="3"/>
    <x v="1"/>
  </r>
  <r>
    <x v="22"/>
    <x v="1"/>
    <x v="1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x v="0"/>
    <n v="13"/>
    <n v="3"/>
    <n v="3"/>
    <n v="0"/>
    <n v="21"/>
    <n v="2"/>
    <n v="3"/>
    <n v="21"/>
    <n v="6"/>
    <n v="2"/>
    <n v="8"/>
    <n v="0"/>
    <x v="0"/>
    <x v="3"/>
    <x v="3"/>
    <x v="3"/>
    <x v="1"/>
  </r>
  <r>
    <x v="3"/>
    <x v="1"/>
    <x v="2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x v="1"/>
    <n v="19"/>
    <n v="3"/>
    <n v="4"/>
    <n v="0"/>
    <n v="3"/>
    <n v="2"/>
    <n v="2"/>
    <n v="2"/>
    <n v="2"/>
    <n v="2"/>
    <n v="2"/>
    <n v="0"/>
    <x v="2"/>
    <x v="1"/>
    <x v="2"/>
    <x v="0"/>
    <x v="2"/>
  </r>
  <r>
    <x v="28"/>
    <x v="1"/>
    <x v="0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x v="1"/>
    <n v="13"/>
    <n v="3"/>
    <n v="2"/>
    <n v="1"/>
    <n v="26"/>
    <n v="4"/>
    <n v="4"/>
    <n v="9"/>
    <n v="3"/>
    <n v="1"/>
    <n v="1"/>
    <n v="0"/>
    <x v="0"/>
    <x v="3"/>
    <x v="0"/>
    <x v="0"/>
    <x v="3"/>
  </r>
  <r>
    <x v="5"/>
    <x v="1"/>
    <x v="2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x v="1"/>
    <n v="12"/>
    <n v="3"/>
    <n v="2"/>
    <n v="0"/>
    <n v="10"/>
    <n v="2"/>
    <n v="3"/>
    <n v="8"/>
    <n v="7"/>
    <n v="7"/>
    <n v="7"/>
    <n v="0"/>
    <x v="2"/>
    <x v="0"/>
    <x v="0"/>
    <x v="2"/>
    <x v="1"/>
  </r>
  <r>
    <x v="13"/>
    <x v="1"/>
    <x v="0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x v="1"/>
    <n v="11"/>
    <n v="3"/>
    <n v="4"/>
    <n v="1"/>
    <n v="16"/>
    <n v="2"/>
    <n v="2"/>
    <n v="15"/>
    <n v="1"/>
    <n v="0"/>
    <n v="9"/>
    <n v="0"/>
    <x v="2"/>
    <x v="2"/>
    <x v="3"/>
    <x v="0"/>
    <x v="2"/>
  </r>
  <r>
    <x v="6"/>
    <x v="1"/>
    <x v="0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x v="0"/>
    <n v="14"/>
    <n v="3"/>
    <n v="3"/>
    <n v="1"/>
    <n v="14"/>
    <n v="1"/>
    <n v="1"/>
    <n v="6"/>
    <n v="4"/>
    <n v="0"/>
    <n v="4"/>
    <n v="0"/>
    <x v="3"/>
    <x v="3"/>
    <x v="0"/>
    <x v="0"/>
    <x v="0"/>
  </r>
  <r>
    <x v="28"/>
    <x v="1"/>
    <x v="0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x v="1"/>
    <n v="16"/>
    <n v="3"/>
    <n v="1"/>
    <n v="0"/>
    <n v="6"/>
    <n v="3"/>
    <n v="3"/>
    <n v="6"/>
    <n v="3"/>
    <n v="0"/>
    <n v="4"/>
    <n v="0"/>
    <x v="0"/>
    <x v="1"/>
    <x v="0"/>
    <x v="1"/>
    <x v="1"/>
  </r>
  <r>
    <x v="16"/>
    <x v="1"/>
    <x v="1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x v="1"/>
    <n v="12"/>
    <n v="3"/>
    <n v="1"/>
    <n v="1"/>
    <n v="30"/>
    <n v="2"/>
    <n v="3"/>
    <n v="15"/>
    <n v="7"/>
    <n v="6"/>
    <n v="12"/>
    <n v="0"/>
    <x v="1"/>
    <x v="2"/>
    <x v="3"/>
    <x v="1"/>
    <x v="1"/>
  </r>
  <r>
    <x v="9"/>
    <x v="0"/>
    <x v="0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x v="1"/>
    <n v="14"/>
    <n v="3"/>
    <n v="2"/>
    <n v="1"/>
    <n v="9"/>
    <n v="3"/>
    <n v="2"/>
    <n v="1"/>
    <n v="0"/>
    <n v="0"/>
    <n v="0"/>
    <n v="1"/>
    <x v="0"/>
    <x v="0"/>
    <x v="1"/>
    <x v="2"/>
    <x v="2"/>
  </r>
  <r>
    <x v="25"/>
    <x v="0"/>
    <x v="1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x v="0"/>
    <n v="14"/>
    <n v="3"/>
    <n v="2"/>
    <n v="1"/>
    <n v="6"/>
    <n v="2"/>
    <n v="3"/>
    <n v="3"/>
    <n v="2"/>
    <n v="1"/>
    <n v="2"/>
    <n v="1"/>
    <x v="2"/>
    <x v="1"/>
    <x v="2"/>
    <x v="3"/>
    <x v="1"/>
  </r>
  <r>
    <x v="13"/>
    <x v="1"/>
    <x v="0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x v="0"/>
    <n v="19"/>
    <n v="3"/>
    <n v="4"/>
    <n v="1"/>
    <n v="1"/>
    <n v="2"/>
    <n v="3"/>
    <n v="1"/>
    <n v="1"/>
    <n v="0"/>
    <n v="0"/>
    <n v="0"/>
    <x v="2"/>
    <x v="1"/>
    <x v="1"/>
    <x v="2"/>
    <x v="1"/>
  </r>
  <r>
    <x v="14"/>
    <x v="1"/>
    <x v="0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x v="1"/>
    <n v="22"/>
    <n v="4"/>
    <n v="2"/>
    <n v="0"/>
    <n v="1"/>
    <n v="5"/>
    <n v="3"/>
    <n v="1"/>
    <n v="0"/>
    <n v="0"/>
    <n v="0"/>
    <n v="0"/>
    <x v="2"/>
    <x v="1"/>
    <x v="1"/>
    <x v="1"/>
    <x v="1"/>
  </r>
  <r>
    <x v="8"/>
    <x v="1"/>
    <x v="1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x v="1"/>
    <n v="16"/>
    <n v="3"/>
    <n v="1"/>
    <n v="1"/>
    <n v="8"/>
    <n v="2"/>
    <n v="3"/>
    <n v="2"/>
    <n v="2"/>
    <n v="2"/>
    <n v="2"/>
    <n v="0"/>
    <x v="0"/>
    <x v="1"/>
    <x v="2"/>
    <x v="2"/>
    <x v="1"/>
  </r>
  <r>
    <x v="24"/>
    <x v="1"/>
    <x v="0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x v="0"/>
    <n v="11"/>
    <n v="3"/>
    <n v="4"/>
    <n v="1"/>
    <n v="29"/>
    <n v="2"/>
    <n v="2"/>
    <n v="8"/>
    <n v="1"/>
    <n v="7"/>
    <n v="7"/>
    <n v="0"/>
    <x v="1"/>
    <x v="3"/>
    <x v="0"/>
    <x v="2"/>
    <x v="2"/>
  </r>
  <r>
    <x v="2"/>
    <x v="1"/>
    <x v="0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x v="1"/>
    <n v="15"/>
    <n v="3"/>
    <n v="1"/>
    <n v="0"/>
    <n v="8"/>
    <n v="3"/>
    <n v="2"/>
    <n v="4"/>
    <n v="3"/>
    <n v="0"/>
    <n v="1"/>
    <n v="0"/>
    <x v="0"/>
    <x v="0"/>
    <x v="2"/>
    <x v="1"/>
    <x v="2"/>
  </r>
  <r>
    <x v="32"/>
    <x v="1"/>
    <x v="0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x v="1"/>
    <n v="14"/>
    <n v="3"/>
    <n v="2"/>
    <n v="1"/>
    <n v="8"/>
    <n v="3"/>
    <n v="2"/>
    <n v="7"/>
    <n v="7"/>
    <n v="7"/>
    <n v="5"/>
    <n v="0"/>
    <x v="0"/>
    <x v="2"/>
    <x v="0"/>
    <x v="3"/>
    <x v="2"/>
  </r>
  <r>
    <x v="25"/>
    <x v="1"/>
    <x v="1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x v="1"/>
    <n v="13"/>
    <n v="3"/>
    <n v="3"/>
    <n v="2"/>
    <n v="5"/>
    <n v="5"/>
    <n v="3"/>
    <n v="5"/>
    <n v="3"/>
    <n v="1"/>
    <n v="3"/>
    <n v="0"/>
    <x v="2"/>
    <x v="1"/>
    <x v="2"/>
    <x v="2"/>
    <x v="1"/>
  </r>
  <r>
    <x v="21"/>
    <x v="1"/>
    <x v="0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x v="1"/>
    <n v="17"/>
    <n v="3"/>
    <n v="4"/>
    <n v="2"/>
    <n v="23"/>
    <n v="0"/>
    <n v="3"/>
    <n v="2"/>
    <n v="2"/>
    <n v="2"/>
    <n v="2"/>
    <n v="0"/>
    <x v="1"/>
    <x v="3"/>
    <x v="2"/>
    <x v="0"/>
    <x v="1"/>
  </r>
  <r>
    <x v="33"/>
    <x v="1"/>
    <x v="0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x v="1"/>
    <n v="11"/>
    <n v="3"/>
    <n v="2"/>
    <n v="1"/>
    <n v="13"/>
    <n v="4"/>
    <n v="3"/>
    <n v="9"/>
    <n v="4"/>
    <n v="7"/>
    <n v="0"/>
    <n v="0"/>
    <x v="1"/>
    <x v="3"/>
    <x v="0"/>
    <x v="2"/>
    <x v="1"/>
  </r>
  <r>
    <x v="29"/>
    <x v="1"/>
    <x v="1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x v="1"/>
    <n v="19"/>
    <n v="3"/>
    <n v="2"/>
    <n v="1"/>
    <n v="18"/>
    <n v="4"/>
    <n v="3"/>
    <n v="5"/>
    <n v="4"/>
    <n v="0"/>
    <n v="3"/>
    <n v="0"/>
    <x v="3"/>
    <x v="1"/>
    <x v="2"/>
    <x v="2"/>
    <x v="1"/>
  </r>
  <r>
    <x v="9"/>
    <x v="1"/>
    <x v="0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x v="1"/>
    <n v="11"/>
    <n v="3"/>
    <n v="2"/>
    <n v="0"/>
    <n v="15"/>
    <n v="2"/>
    <n v="2"/>
    <n v="14"/>
    <n v="8"/>
    <n v="7"/>
    <n v="8"/>
    <n v="0"/>
    <x v="0"/>
    <x v="2"/>
    <x v="3"/>
    <x v="0"/>
    <x v="2"/>
  </r>
  <r>
    <x v="27"/>
    <x v="1"/>
    <x v="2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x v="1"/>
    <n v="15"/>
    <n v="3"/>
    <n v="2"/>
    <n v="0"/>
    <n v="31"/>
    <n v="3"/>
    <n v="4"/>
    <n v="9"/>
    <n v="7"/>
    <n v="6"/>
    <n v="2"/>
    <n v="0"/>
    <x v="1"/>
    <x v="3"/>
    <x v="0"/>
    <x v="3"/>
    <x v="3"/>
  </r>
  <r>
    <x v="23"/>
    <x v="1"/>
    <x v="0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x v="1"/>
    <n v="13"/>
    <n v="3"/>
    <n v="3"/>
    <n v="1"/>
    <n v="18"/>
    <n v="5"/>
    <n v="3"/>
    <n v="1"/>
    <n v="0"/>
    <n v="0"/>
    <n v="0"/>
    <n v="0"/>
    <x v="0"/>
    <x v="3"/>
    <x v="1"/>
    <x v="0"/>
    <x v="1"/>
  </r>
  <r>
    <x v="35"/>
    <x v="0"/>
    <x v="1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x v="0"/>
    <n v="14"/>
    <n v="3"/>
    <n v="2"/>
    <n v="0"/>
    <n v="2"/>
    <n v="3"/>
    <n v="3"/>
    <n v="2"/>
    <n v="2"/>
    <n v="0"/>
    <n v="2"/>
    <n v="1"/>
    <x v="4"/>
    <x v="1"/>
    <x v="2"/>
    <x v="0"/>
    <x v="1"/>
  </r>
  <r>
    <x v="18"/>
    <x v="0"/>
    <x v="0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x v="1"/>
    <n v="13"/>
    <n v="3"/>
    <n v="1"/>
    <n v="0"/>
    <n v="1"/>
    <n v="6"/>
    <n v="2"/>
    <n v="1"/>
    <n v="0"/>
    <n v="1"/>
    <n v="0"/>
    <n v="1"/>
    <x v="4"/>
    <x v="1"/>
    <x v="1"/>
    <x v="3"/>
    <x v="2"/>
  </r>
  <r>
    <x v="21"/>
    <x v="1"/>
    <x v="0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x v="0"/>
    <n v="23"/>
    <n v="4"/>
    <n v="1"/>
    <n v="3"/>
    <n v="19"/>
    <n v="2"/>
    <n v="3"/>
    <n v="16"/>
    <n v="13"/>
    <n v="1"/>
    <n v="7"/>
    <n v="0"/>
    <x v="1"/>
    <x v="0"/>
    <x v="3"/>
    <x v="3"/>
    <x v="1"/>
  </r>
  <r>
    <x v="31"/>
    <x v="0"/>
    <x v="0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x v="0"/>
    <n v="12"/>
    <n v="3"/>
    <n v="3"/>
    <n v="3"/>
    <n v="18"/>
    <n v="2"/>
    <n v="4"/>
    <n v="10"/>
    <n v="0"/>
    <n v="2"/>
    <n v="7"/>
    <n v="1"/>
    <x v="1"/>
    <x v="1"/>
    <x v="0"/>
    <x v="2"/>
    <x v="3"/>
  </r>
  <r>
    <x v="14"/>
    <x v="0"/>
    <x v="2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x v="1"/>
    <n v="12"/>
    <n v="3"/>
    <n v="1"/>
    <n v="0"/>
    <n v="10"/>
    <n v="2"/>
    <n v="2"/>
    <n v="10"/>
    <n v="7"/>
    <n v="1"/>
    <n v="9"/>
    <n v="1"/>
    <x v="2"/>
    <x v="2"/>
    <x v="0"/>
    <x v="3"/>
    <x v="2"/>
  </r>
  <r>
    <x v="25"/>
    <x v="1"/>
    <x v="0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x v="1"/>
    <n v="16"/>
    <n v="3"/>
    <n v="1"/>
    <n v="2"/>
    <n v="6"/>
    <n v="2"/>
    <n v="3"/>
    <n v="5"/>
    <n v="3"/>
    <n v="1"/>
    <n v="3"/>
    <n v="0"/>
    <x v="2"/>
    <x v="0"/>
    <x v="2"/>
    <x v="3"/>
    <x v="1"/>
  </r>
  <r>
    <x v="7"/>
    <x v="1"/>
    <x v="0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x v="1"/>
    <n v="15"/>
    <n v="3"/>
    <n v="3"/>
    <n v="1"/>
    <n v="7"/>
    <n v="1"/>
    <n v="2"/>
    <n v="6"/>
    <n v="2"/>
    <n v="0"/>
    <n v="2"/>
    <n v="0"/>
    <x v="2"/>
    <x v="2"/>
    <x v="0"/>
    <x v="3"/>
    <x v="2"/>
  </r>
  <r>
    <x v="0"/>
    <x v="1"/>
    <x v="0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x v="1"/>
    <n v="13"/>
    <n v="3"/>
    <n v="3"/>
    <n v="0"/>
    <n v="10"/>
    <n v="3"/>
    <n v="3"/>
    <n v="10"/>
    <n v="6"/>
    <n v="0"/>
    <n v="8"/>
    <n v="0"/>
    <x v="0"/>
    <x v="0"/>
    <x v="0"/>
    <x v="2"/>
    <x v="1"/>
  </r>
  <r>
    <x v="8"/>
    <x v="1"/>
    <x v="0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x v="1"/>
    <n v="18"/>
    <n v="3"/>
    <n v="1"/>
    <n v="1"/>
    <n v="20"/>
    <n v="4"/>
    <n v="2"/>
    <n v="19"/>
    <n v="9"/>
    <n v="1"/>
    <n v="9"/>
    <n v="0"/>
    <x v="0"/>
    <x v="2"/>
    <x v="3"/>
    <x v="2"/>
    <x v="2"/>
  </r>
  <r>
    <x v="32"/>
    <x v="1"/>
    <x v="0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  <n v="0"/>
    <x v="0"/>
    <x v="3"/>
    <x v="3"/>
    <x v="0"/>
    <x v="1"/>
  </r>
  <r>
    <x v="4"/>
    <x v="1"/>
    <x v="2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x v="1"/>
    <n v="19"/>
    <n v="3"/>
    <n v="4"/>
    <n v="3"/>
    <n v="3"/>
    <n v="4"/>
    <n v="3"/>
    <n v="3"/>
    <n v="2"/>
    <n v="1"/>
    <n v="2"/>
    <n v="0"/>
    <x v="2"/>
    <x v="0"/>
    <x v="2"/>
    <x v="2"/>
    <x v="1"/>
  </r>
  <r>
    <x v="27"/>
    <x v="1"/>
    <x v="1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x v="1"/>
    <n v="18"/>
    <n v="3"/>
    <n v="2"/>
    <n v="1"/>
    <n v="23"/>
    <n v="4"/>
    <n v="3"/>
    <n v="3"/>
    <n v="2"/>
    <n v="1"/>
    <n v="2"/>
    <n v="0"/>
    <x v="1"/>
    <x v="3"/>
    <x v="2"/>
    <x v="1"/>
    <x v="1"/>
  </r>
  <r>
    <x v="14"/>
    <x v="1"/>
    <x v="0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x v="1"/>
    <n v="13"/>
    <n v="3"/>
    <n v="4"/>
    <n v="0"/>
    <n v="10"/>
    <n v="4"/>
    <n v="4"/>
    <n v="8"/>
    <n v="7"/>
    <n v="1"/>
    <n v="7"/>
    <n v="0"/>
    <x v="2"/>
    <x v="0"/>
    <x v="0"/>
    <x v="2"/>
    <x v="3"/>
  </r>
  <r>
    <x v="20"/>
    <x v="0"/>
    <x v="0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x v="1"/>
    <n v="14"/>
    <n v="3"/>
    <n v="4"/>
    <n v="1"/>
    <n v="24"/>
    <n v="1"/>
    <n v="3"/>
    <n v="20"/>
    <n v="6"/>
    <n v="3"/>
    <n v="6"/>
    <n v="1"/>
    <x v="0"/>
    <x v="3"/>
    <x v="3"/>
    <x v="3"/>
    <x v="1"/>
  </r>
  <r>
    <x v="3"/>
    <x v="1"/>
    <x v="0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x v="1"/>
    <n v="15"/>
    <n v="3"/>
    <n v="3"/>
    <n v="1"/>
    <n v="9"/>
    <n v="2"/>
    <n v="3"/>
    <n v="3"/>
    <n v="2"/>
    <n v="1"/>
    <n v="2"/>
    <n v="0"/>
    <x v="2"/>
    <x v="2"/>
    <x v="2"/>
    <x v="0"/>
    <x v="1"/>
  </r>
  <r>
    <x v="10"/>
    <x v="0"/>
    <x v="0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x v="0"/>
    <n v="22"/>
    <n v="4"/>
    <n v="1"/>
    <n v="0"/>
    <n v="9"/>
    <n v="2"/>
    <n v="3"/>
    <n v="8"/>
    <n v="7"/>
    <n v="4"/>
    <n v="7"/>
    <n v="1"/>
    <x v="2"/>
    <x v="2"/>
    <x v="0"/>
    <x v="3"/>
    <x v="1"/>
  </r>
  <r>
    <x v="3"/>
    <x v="0"/>
    <x v="1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x v="1"/>
    <n v="22"/>
    <n v="4"/>
    <n v="2"/>
    <n v="0"/>
    <n v="14"/>
    <n v="4"/>
    <n v="3"/>
    <n v="13"/>
    <n v="7"/>
    <n v="3"/>
    <n v="8"/>
    <n v="1"/>
    <x v="2"/>
    <x v="0"/>
    <x v="3"/>
    <x v="2"/>
    <x v="1"/>
  </r>
  <r>
    <x v="14"/>
    <x v="1"/>
    <x v="0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x v="1"/>
    <n v="16"/>
    <n v="3"/>
    <n v="4"/>
    <n v="1"/>
    <n v="4"/>
    <n v="5"/>
    <n v="2"/>
    <n v="4"/>
    <n v="2"/>
    <n v="2"/>
    <n v="2"/>
    <n v="0"/>
    <x v="2"/>
    <x v="1"/>
    <x v="2"/>
    <x v="2"/>
    <x v="2"/>
  </r>
  <r>
    <x v="13"/>
    <x v="1"/>
    <x v="1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x v="1"/>
    <n v="17"/>
    <n v="3"/>
    <n v="3"/>
    <n v="0"/>
    <n v="7"/>
    <n v="1"/>
    <n v="2"/>
    <n v="6"/>
    <n v="2"/>
    <n v="0"/>
    <n v="4"/>
    <n v="0"/>
    <x v="2"/>
    <x v="2"/>
    <x v="0"/>
    <x v="0"/>
    <x v="2"/>
  </r>
  <r>
    <x v="2"/>
    <x v="1"/>
    <x v="0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x v="0"/>
    <n v="14"/>
    <n v="3"/>
    <n v="3"/>
    <n v="3"/>
    <n v="8"/>
    <n v="5"/>
    <n v="3"/>
    <n v="1"/>
    <n v="0"/>
    <n v="0"/>
    <n v="0"/>
    <n v="0"/>
    <x v="0"/>
    <x v="2"/>
    <x v="1"/>
    <x v="0"/>
    <x v="1"/>
  </r>
  <r>
    <x v="36"/>
    <x v="0"/>
    <x v="0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x v="0"/>
    <n v="15"/>
    <n v="3"/>
    <n v="2"/>
    <n v="1"/>
    <n v="7"/>
    <n v="3"/>
    <n v="4"/>
    <n v="7"/>
    <n v="7"/>
    <n v="5"/>
    <n v="6"/>
    <n v="1"/>
    <x v="4"/>
    <x v="0"/>
    <x v="0"/>
    <x v="0"/>
    <x v="3"/>
  </r>
  <r>
    <x v="25"/>
    <x v="0"/>
    <x v="0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x v="1"/>
    <n v="20"/>
    <n v="4"/>
    <n v="3"/>
    <n v="1"/>
    <n v="1"/>
    <n v="0"/>
    <n v="2"/>
    <n v="1"/>
    <n v="1"/>
    <n v="0"/>
    <n v="0"/>
    <n v="1"/>
    <x v="2"/>
    <x v="1"/>
    <x v="1"/>
    <x v="2"/>
    <x v="2"/>
  </r>
  <r>
    <x v="3"/>
    <x v="0"/>
    <x v="0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x v="0"/>
    <n v="20"/>
    <n v="4"/>
    <n v="2"/>
    <n v="0"/>
    <n v="5"/>
    <n v="0"/>
    <n v="3"/>
    <n v="2"/>
    <n v="2"/>
    <n v="2"/>
    <n v="2"/>
    <n v="1"/>
    <x v="2"/>
    <x v="1"/>
    <x v="2"/>
    <x v="1"/>
    <x v="1"/>
  </r>
  <r>
    <x v="19"/>
    <x v="1"/>
    <x v="0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x v="1"/>
    <n v="17"/>
    <n v="3"/>
    <n v="4"/>
    <n v="1"/>
    <n v="23"/>
    <n v="3"/>
    <n v="3"/>
    <n v="22"/>
    <n v="6"/>
    <n v="13"/>
    <n v="7"/>
    <n v="0"/>
    <x v="0"/>
    <x v="3"/>
    <x v="3"/>
    <x v="3"/>
    <x v="1"/>
  </r>
  <r>
    <x v="14"/>
    <x v="0"/>
    <x v="1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x v="1"/>
    <n v="15"/>
    <n v="3"/>
    <n v="1"/>
    <n v="2"/>
    <n v="1"/>
    <n v="2"/>
    <n v="3"/>
    <n v="1"/>
    <n v="0"/>
    <n v="0"/>
    <n v="0"/>
    <n v="1"/>
    <x v="2"/>
    <x v="1"/>
    <x v="1"/>
    <x v="1"/>
    <x v="1"/>
  </r>
  <r>
    <x v="24"/>
    <x v="0"/>
    <x v="1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x v="0"/>
    <n v="14"/>
    <n v="3"/>
    <n v="4"/>
    <n v="0"/>
    <n v="5"/>
    <n v="4"/>
    <n v="3"/>
    <n v="0"/>
    <n v="0"/>
    <n v="0"/>
    <n v="0"/>
    <n v="1"/>
    <x v="1"/>
    <x v="0"/>
    <x v="1"/>
    <x v="2"/>
    <x v="1"/>
  </r>
  <r>
    <x v="3"/>
    <x v="1"/>
    <x v="1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x v="1"/>
    <n v="17"/>
    <n v="3"/>
    <n v="3"/>
    <n v="1"/>
    <n v="4"/>
    <n v="3"/>
    <n v="3"/>
    <n v="3"/>
    <n v="2"/>
    <n v="0"/>
    <n v="2"/>
    <n v="0"/>
    <x v="2"/>
    <x v="0"/>
    <x v="2"/>
    <x v="1"/>
    <x v="1"/>
  </r>
  <r>
    <x v="13"/>
    <x v="1"/>
    <x v="2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x v="1"/>
    <n v="17"/>
    <n v="3"/>
    <n v="4"/>
    <n v="3"/>
    <n v="6"/>
    <n v="2"/>
    <n v="3"/>
    <n v="0"/>
    <n v="0"/>
    <n v="0"/>
    <n v="0"/>
    <n v="0"/>
    <x v="2"/>
    <x v="1"/>
    <x v="1"/>
    <x v="0"/>
    <x v="1"/>
  </r>
  <r>
    <x v="26"/>
    <x v="1"/>
    <x v="2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x v="1"/>
    <n v="22"/>
    <n v="4"/>
    <n v="3"/>
    <n v="0"/>
    <n v="27"/>
    <n v="3"/>
    <n v="2"/>
    <n v="5"/>
    <n v="4"/>
    <n v="2"/>
    <n v="1"/>
    <n v="0"/>
    <x v="1"/>
    <x v="3"/>
    <x v="2"/>
    <x v="0"/>
    <x v="2"/>
  </r>
  <r>
    <x v="28"/>
    <x v="1"/>
    <x v="2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x v="1"/>
    <n v="13"/>
    <n v="3"/>
    <n v="4"/>
    <n v="1"/>
    <n v="15"/>
    <n v="2"/>
    <n v="3"/>
    <n v="15"/>
    <n v="10"/>
    <n v="4"/>
    <n v="12"/>
    <n v="0"/>
    <x v="0"/>
    <x v="0"/>
    <x v="3"/>
    <x v="2"/>
    <x v="1"/>
  </r>
  <r>
    <x v="39"/>
    <x v="1"/>
    <x v="0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x v="1"/>
    <n v="19"/>
    <n v="3"/>
    <n v="4"/>
    <n v="0"/>
    <n v="18"/>
    <n v="4"/>
    <n v="3"/>
    <n v="8"/>
    <n v="6"/>
    <n v="4"/>
    <n v="0"/>
    <n v="0"/>
    <x v="1"/>
    <x v="3"/>
    <x v="0"/>
    <x v="1"/>
    <x v="1"/>
  </r>
  <r>
    <x v="8"/>
    <x v="1"/>
    <x v="0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x v="0"/>
    <n v="14"/>
    <n v="3"/>
    <n v="2"/>
    <n v="2"/>
    <n v="9"/>
    <n v="2"/>
    <n v="3"/>
    <n v="8"/>
    <n v="7"/>
    <n v="2"/>
    <n v="7"/>
    <n v="0"/>
    <x v="0"/>
    <x v="2"/>
    <x v="0"/>
    <x v="2"/>
    <x v="1"/>
  </r>
  <r>
    <x v="11"/>
    <x v="1"/>
    <x v="0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x v="1"/>
    <n v="22"/>
    <n v="4"/>
    <n v="1"/>
    <n v="1"/>
    <n v="11"/>
    <n v="1"/>
    <n v="3"/>
    <n v="7"/>
    <n v="5"/>
    <n v="1"/>
    <n v="7"/>
    <n v="0"/>
    <x v="2"/>
    <x v="1"/>
    <x v="0"/>
    <x v="0"/>
    <x v="1"/>
  </r>
  <r>
    <x v="14"/>
    <x v="1"/>
    <x v="0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x v="1"/>
    <n v="17"/>
    <n v="3"/>
    <n v="2"/>
    <n v="3"/>
    <n v="10"/>
    <n v="3"/>
    <n v="2"/>
    <n v="9"/>
    <n v="7"/>
    <n v="1"/>
    <n v="7"/>
    <n v="0"/>
    <x v="2"/>
    <x v="2"/>
    <x v="0"/>
    <x v="1"/>
    <x v="2"/>
  </r>
  <r>
    <x v="21"/>
    <x v="1"/>
    <x v="0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x v="1"/>
    <n v="12"/>
    <n v="3"/>
    <n v="4"/>
    <n v="1"/>
    <n v="23"/>
    <n v="3"/>
    <n v="3"/>
    <n v="12"/>
    <n v="9"/>
    <n v="4"/>
    <n v="9"/>
    <n v="0"/>
    <x v="1"/>
    <x v="3"/>
    <x v="3"/>
    <x v="2"/>
    <x v="1"/>
  </r>
  <r>
    <x v="8"/>
    <x v="1"/>
    <x v="0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x v="1"/>
    <n v="16"/>
    <n v="3"/>
    <n v="3"/>
    <n v="0"/>
    <n v="10"/>
    <n v="2"/>
    <n v="3"/>
    <n v="1"/>
    <n v="0"/>
    <n v="0"/>
    <n v="0"/>
    <n v="0"/>
    <x v="0"/>
    <x v="2"/>
    <x v="1"/>
    <x v="1"/>
    <x v="1"/>
  </r>
  <r>
    <x v="23"/>
    <x v="1"/>
    <x v="1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x v="1"/>
    <n v="11"/>
    <n v="3"/>
    <n v="3"/>
    <n v="1"/>
    <n v="18"/>
    <n v="1"/>
    <n v="3"/>
    <n v="8"/>
    <n v="7"/>
    <n v="0"/>
    <n v="1"/>
    <n v="0"/>
    <x v="0"/>
    <x v="3"/>
    <x v="0"/>
    <x v="3"/>
    <x v="1"/>
  </r>
  <r>
    <x v="22"/>
    <x v="0"/>
    <x v="1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  <n v="1"/>
    <x v="0"/>
    <x v="3"/>
    <x v="3"/>
    <x v="0"/>
    <x v="1"/>
  </r>
  <r>
    <x v="32"/>
    <x v="1"/>
    <x v="0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x v="1"/>
    <n v="14"/>
    <n v="3"/>
    <n v="1"/>
    <n v="0"/>
    <n v="21"/>
    <n v="2"/>
    <n v="4"/>
    <n v="20"/>
    <n v="7"/>
    <n v="4"/>
    <n v="9"/>
    <n v="0"/>
    <x v="0"/>
    <x v="3"/>
    <x v="3"/>
    <x v="2"/>
    <x v="3"/>
  </r>
  <r>
    <x v="18"/>
    <x v="1"/>
    <x v="0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x v="0"/>
    <n v="11"/>
    <n v="3"/>
    <n v="3"/>
    <n v="0"/>
    <n v="2"/>
    <n v="6"/>
    <n v="4"/>
    <n v="2"/>
    <n v="2"/>
    <n v="2"/>
    <n v="2"/>
    <n v="0"/>
    <x v="4"/>
    <x v="1"/>
    <x v="2"/>
    <x v="1"/>
    <x v="3"/>
  </r>
  <r>
    <x v="22"/>
    <x v="1"/>
    <x v="2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x v="1"/>
    <n v="15"/>
    <n v="3"/>
    <n v="3"/>
    <n v="0"/>
    <n v="9"/>
    <n v="2"/>
    <n v="2"/>
    <n v="5"/>
    <n v="4"/>
    <n v="0"/>
    <n v="3"/>
    <n v="0"/>
    <x v="0"/>
    <x v="2"/>
    <x v="2"/>
    <x v="1"/>
    <x v="2"/>
  </r>
  <r>
    <x v="9"/>
    <x v="1"/>
    <x v="2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x v="1"/>
    <n v="20"/>
    <n v="4"/>
    <n v="1"/>
    <n v="0"/>
    <n v="18"/>
    <n v="0"/>
    <n v="3"/>
    <n v="11"/>
    <n v="9"/>
    <n v="0"/>
    <n v="9"/>
    <n v="0"/>
    <x v="0"/>
    <x v="2"/>
    <x v="3"/>
    <x v="0"/>
    <x v="1"/>
  </r>
  <r>
    <x v="12"/>
    <x v="1"/>
    <x v="1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x v="1"/>
    <n v="12"/>
    <n v="3"/>
    <n v="1"/>
    <n v="1"/>
    <n v="3"/>
    <n v="4"/>
    <n v="3"/>
    <n v="2"/>
    <n v="2"/>
    <n v="2"/>
    <n v="2"/>
    <n v="0"/>
    <x v="2"/>
    <x v="1"/>
    <x v="2"/>
    <x v="0"/>
    <x v="1"/>
  </r>
  <r>
    <x v="14"/>
    <x v="1"/>
    <x v="0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x v="1"/>
    <n v="17"/>
    <n v="3"/>
    <n v="1"/>
    <n v="0"/>
    <n v="6"/>
    <n v="2"/>
    <n v="1"/>
    <n v="5"/>
    <n v="3"/>
    <n v="0"/>
    <n v="4"/>
    <n v="0"/>
    <x v="2"/>
    <x v="0"/>
    <x v="2"/>
    <x v="1"/>
    <x v="0"/>
  </r>
  <r>
    <x v="10"/>
    <x v="1"/>
    <x v="1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x v="1"/>
    <n v="11"/>
    <n v="3"/>
    <n v="4"/>
    <n v="1"/>
    <n v="5"/>
    <n v="3"/>
    <n v="3"/>
    <n v="5"/>
    <n v="2"/>
    <n v="0"/>
    <n v="2"/>
    <n v="0"/>
    <x v="2"/>
    <x v="0"/>
    <x v="2"/>
    <x v="0"/>
    <x v="1"/>
  </r>
  <r>
    <x v="1"/>
    <x v="1"/>
    <x v="0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x v="1"/>
    <n v="17"/>
    <n v="3"/>
    <n v="2"/>
    <n v="1"/>
    <n v="22"/>
    <n v="3"/>
    <n v="3"/>
    <n v="9"/>
    <n v="8"/>
    <n v="2"/>
    <n v="3"/>
    <n v="0"/>
    <x v="1"/>
    <x v="3"/>
    <x v="0"/>
    <x v="1"/>
    <x v="1"/>
  </r>
  <r>
    <x v="13"/>
    <x v="1"/>
    <x v="1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x v="1"/>
    <n v="11"/>
    <n v="3"/>
    <n v="4"/>
    <n v="0"/>
    <n v="5"/>
    <n v="3"/>
    <n v="2"/>
    <n v="3"/>
    <n v="2"/>
    <n v="0"/>
    <n v="2"/>
    <n v="0"/>
    <x v="2"/>
    <x v="0"/>
    <x v="2"/>
    <x v="2"/>
    <x v="2"/>
  </r>
  <r>
    <x v="11"/>
    <x v="1"/>
    <x v="1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x v="1"/>
    <n v="14"/>
    <n v="3"/>
    <n v="4"/>
    <n v="2"/>
    <n v="8"/>
    <n v="2"/>
    <n v="2"/>
    <n v="7"/>
    <n v="5"/>
    <n v="1"/>
    <n v="1"/>
    <n v="0"/>
    <x v="2"/>
    <x v="0"/>
    <x v="0"/>
    <x v="1"/>
    <x v="2"/>
  </r>
  <r>
    <x v="19"/>
    <x v="1"/>
    <x v="0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x v="1"/>
    <n v="19"/>
    <n v="3"/>
    <n v="1"/>
    <n v="0"/>
    <n v="16"/>
    <n v="3"/>
    <n v="3"/>
    <n v="1"/>
    <n v="0"/>
    <n v="0"/>
    <n v="0"/>
    <n v="0"/>
    <x v="0"/>
    <x v="0"/>
    <x v="1"/>
    <x v="0"/>
    <x v="1"/>
  </r>
  <r>
    <x v="11"/>
    <x v="1"/>
    <x v="0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x v="0"/>
    <n v="15"/>
    <n v="3"/>
    <n v="3"/>
    <n v="1"/>
    <n v="10"/>
    <n v="2"/>
    <n v="2"/>
    <n v="10"/>
    <n v="7"/>
    <n v="1"/>
    <n v="2"/>
    <n v="0"/>
    <x v="2"/>
    <x v="0"/>
    <x v="0"/>
    <x v="0"/>
    <x v="2"/>
  </r>
  <r>
    <x v="8"/>
    <x v="1"/>
    <x v="0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x v="1"/>
    <n v="13"/>
    <n v="3"/>
    <n v="4"/>
    <n v="1"/>
    <n v="7"/>
    <n v="2"/>
    <n v="4"/>
    <n v="7"/>
    <n v="6"/>
    <n v="5"/>
    <n v="0"/>
    <n v="0"/>
    <x v="0"/>
    <x v="1"/>
    <x v="0"/>
    <x v="2"/>
    <x v="3"/>
  </r>
  <r>
    <x v="14"/>
    <x v="1"/>
    <x v="1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x v="0"/>
    <n v="14"/>
    <n v="3"/>
    <n v="4"/>
    <n v="1"/>
    <n v="3"/>
    <n v="2"/>
    <n v="3"/>
    <n v="3"/>
    <n v="1"/>
    <n v="0"/>
    <n v="2"/>
    <n v="0"/>
    <x v="2"/>
    <x v="1"/>
    <x v="2"/>
    <x v="2"/>
    <x v="1"/>
  </r>
  <r>
    <x v="41"/>
    <x v="0"/>
    <x v="2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x v="1"/>
    <n v="12"/>
    <n v="3"/>
    <n v="4"/>
    <n v="0"/>
    <n v="0"/>
    <n v="0"/>
    <n v="3"/>
    <n v="0"/>
    <n v="0"/>
    <n v="0"/>
    <n v="0"/>
    <n v="1"/>
    <x v="4"/>
    <x v="1"/>
    <x v="1"/>
    <x v="2"/>
    <x v="1"/>
  </r>
  <r>
    <x v="3"/>
    <x v="0"/>
    <x v="0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x v="0"/>
    <n v="17"/>
    <n v="3"/>
    <n v="1"/>
    <n v="0"/>
    <n v="6"/>
    <n v="3"/>
    <n v="3"/>
    <n v="5"/>
    <n v="2"/>
    <n v="0"/>
    <n v="3"/>
    <n v="1"/>
    <x v="2"/>
    <x v="2"/>
    <x v="2"/>
    <x v="3"/>
    <x v="1"/>
  </r>
  <r>
    <x v="0"/>
    <x v="1"/>
    <x v="0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x v="0"/>
    <n v="11"/>
    <n v="3"/>
    <n v="1"/>
    <n v="1"/>
    <n v="6"/>
    <n v="4"/>
    <n v="3"/>
    <n v="1"/>
    <n v="0"/>
    <n v="0"/>
    <n v="0"/>
    <n v="0"/>
    <x v="0"/>
    <x v="0"/>
    <x v="1"/>
    <x v="0"/>
    <x v="1"/>
  </r>
  <r>
    <x v="12"/>
    <x v="0"/>
    <x v="1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x v="1"/>
    <n v="12"/>
    <n v="3"/>
    <n v="3"/>
    <n v="1"/>
    <n v="2"/>
    <n v="5"/>
    <n v="2"/>
    <n v="2"/>
    <n v="2"/>
    <n v="2"/>
    <n v="2"/>
    <n v="1"/>
    <x v="2"/>
    <x v="1"/>
    <x v="2"/>
    <x v="2"/>
    <x v="2"/>
  </r>
  <r>
    <x v="2"/>
    <x v="1"/>
    <x v="0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x v="1"/>
    <n v="13"/>
    <n v="3"/>
    <n v="3"/>
    <n v="2"/>
    <n v="9"/>
    <n v="2"/>
    <n v="3"/>
    <n v="6"/>
    <n v="2"/>
    <n v="1"/>
    <n v="3"/>
    <n v="0"/>
    <x v="0"/>
    <x v="0"/>
    <x v="0"/>
    <x v="0"/>
    <x v="1"/>
  </r>
  <r>
    <x v="4"/>
    <x v="1"/>
    <x v="0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x v="1"/>
    <n v="13"/>
    <n v="3"/>
    <n v="3"/>
    <n v="1"/>
    <n v="4"/>
    <n v="0"/>
    <n v="3"/>
    <n v="4"/>
    <n v="2"/>
    <n v="2"/>
    <n v="2"/>
    <n v="0"/>
    <x v="2"/>
    <x v="1"/>
    <x v="2"/>
    <x v="2"/>
    <x v="1"/>
  </r>
  <r>
    <x v="13"/>
    <x v="1"/>
    <x v="0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x v="1"/>
    <n v="20"/>
    <n v="4"/>
    <n v="1"/>
    <n v="0"/>
    <n v="6"/>
    <n v="3"/>
    <n v="2"/>
    <n v="6"/>
    <n v="5"/>
    <n v="1"/>
    <n v="3"/>
    <n v="0"/>
    <x v="2"/>
    <x v="0"/>
    <x v="0"/>
    <x v="2"/>
    <x v="2"/>
  </r>
  <r>
    <x v="10"/>
    <x v="1"/>
    <x v="0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x v="1"/>
    <n v="17"/>
    <n v="3"/>
    <n v="2"/>
    <n v="0"/>
    <n v="6"/>
    <n v="2"/>
    <n v="1"/>
    <n v="5"/>
    <n v="4"/>
    <n v="1"/>
    <n v="4"/>
    <n v="0"/>
    <x v="2"/>
    <x v="0"/>
    <x v="2"/>
    <x v="2"/>
    <x v="0"/>
  </r>
  <r>
    <x v="11"/>
    <x v="0"/>
    <x v="0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x v="1"/>
    <n v="13"/>
    <n v="3"/>
    <n v="1"/>
    <n v="1"/>
    <n v="11"/>
    <n v="3"/>
    <n v="1"/>
    <n v="11"/>
    <n v="8"/>
    <n v="3"/>
    <n v="10"/>
    <n v="1"/>
    <x v="2"/>
    <x v="2"/>
    <x v="3"/>
    <x v="3"/>
    <x v="0"/>
  </r>
  <r>
    <x v="32"/>
    <x v="1"/>
    <x v="1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x v="1"/>
    <n v="17"/>
    <n v="3"/>
    <n v="3"/>
    <n v="0"/>
    <n v="20"/>
    <n v="3"/>
    <n v="2"/>
    <n v="18"/>
    <n v="7"/>
    <n v="2"/>
    <n v="13"/>
    <n v="0"/>
    <x v="0"/>
    <x v="3"/>
    <x v="3"/>
    <x v="2"/>
    <x v="2"/>
  </r>
  <r>
    <x v="19"/>
    <x v="0"/>
    <x v="1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x v="0"/>
    <n v="12"/>
    <n v="3"/>
    <n v="2"/>
    <n v="0"/>
    <n v="22"/>
    <n v="2"/>
    <n v="2"/>
    <n v="21"/>
    <n v="9"/>
    <n v="13"/>
    <n v="14"/>
    <n v="1"/>
    <x v="0"/>
    <x v="3"/>
    <x v="3"/>
    <x v="3"/>
    <x v="2"/>
  </r>
  <r>
    <x v="19"/>
    <x v="1"/>
    <x v="0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x v="1"/>
    <n v="13"/>
    <n v="3"/>
    <n v="4"/>
    <n v="0"/>
    <n v="9"/>
    <n v="3"/>
    <n v="4"/>
    <n v="6"/>
    <n v="4"/>
    <n v="1"/>
    <n v="5"/>
    <n v="0"/>
    <x v="0"/>
    <x v="0"/>
    <x v="0"/>
    <x v="3"/>
    <x v="3"/>
  </r>
  <r>
    <x v="10"/>
    <x v="1"/>
    <x v="0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x v="1"/>
    <n v="12"/>
    <n v="3"/>
    <n v="2"/>
    <n v="1"/>
    <n v="10"/>
    <n v="2"/>
    <n v="3"/>
    <n v="8"/>
    <n v="0"/>
    <n v="1"/>
    <n v="7"/>
    <n v="0"/>
    <x v="2"/>
    <x v="1"/>
    <x v="0"/>
    <x v="2"/>
    <x v="1"/>
  </r>
  <r>
    <x v="17"/>
    <x v="1"/>
    <x v="0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x v="1"/>
    <n v="22"/>
    <n v="4"/>
    <n v="4"/>
    <n v="0"/>
    <n v="6"/>
    <n v="2"/>
    <n v="3"/>
    <n v="4"/>
    <n v="3"/>
    <n v="1"/>
    <n v="2"/>
    <n v="0"/>
    <x v="4"/>
    <x v="0"/>
    <x v="2"/>
    <x v="1"/>
    <x v="1"/>
  </r>
  <r>
    <x v="14"/>
    <x v="0"/>
    <x v="0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x v="0"/>
    <n v="11"/>
    <n v="3"/>
    <n v="4"/>
    <n v="0"/>
    <n v="1"/>
    <n v="4"/>
    <n v="2"/>
    <n v="1"/>
    <n v="1"/>
    <n v="0"/>
    <n v="0"/>
    <n v="1"/>
    <x v="2"/>
    <x v="1"/>
    <x v="1"/>
    <x v="0"/>
    <x v="2"/>
  </r>
  <r>
    <x v="25"/>
    <x v="1"/>
    <x v="0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x v="1"/>
    <n v="22"/>
    <n v="4"/>
    <n v="2"/>
    <n v="1"/>
    <n v="8"/>
    <n v="2"/>
    <n v="3"/>
    <n v="8"/>
    <n v="7"/>
    <n v="0"/>
    <n v="7"/>
    <n v="0"/>
    <x v="2"/>
    <x v="0"/>
    <x v="0"/>
    <x v="0"/>
    <x v="1"/>
  </r>
  <r>
    <x v="7"/>
    <x v="1"/>
    <x v="0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x v="1"/>
    <n v="18"/>
    <n v="3"/>
    <n v="1"/>
    <n v="1"/>
    <n v="10"/>
    <n v="3"/>
    <n v="3"/>
    <n v="10"/>
    <n v="3"/>
    <n v="1"/>
    <n v="4"/>
    <n v="0"/>
    <x v="2"/>
    <x v="2"/>
    <x v="0"/>
    <x v="2"/>
    <x v="1"/>
  </r>
  <r>
    <x v="32"/>
    <x v="1"/>
    <x v="1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x v="0"/>
    <n v="13"/>
    <n v="3"/>
    <n v="4"/>
    <n v="1"/>
    <n v="16"/>
    <n v="3"/>
    <n v="1"/>
    <n v="1"/>
    <n v="1"/>
    <n v="0"/>
    <n v="0"/>
    <n v="0"/>
    <x v="0"/>
    <x v="0"/>
    <x v="1"/>
    <x v="0"/>
    <x v="0"/>
  </r>
  <r>
    <x v="10"/>
    <x v="1"/>
    <x v="0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x v="1"/>
    <n v="18"/>
    <n v="3"/>
    <n v="2"/>
    <n v="1"/>
    <n v="15"/>
    <n v="2"/>
    <n v="4"/>
    <n v="7"/>
    <n v="7"/>
    <n v="6"/>
    <n v="4"/>
    <n v="0"/>
    <x v="2"/>
    <x v="3"/>
    <x v="0"/>
    <x v="1"/>
    <x v="3"/>
  </r>
  <r>
    <x v="13"/>
    <x v="1"/>
    <x v="1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x v="1"/>
    <n v="20"/>
    <n v="4"/>
    <n v="3"/>
    <n v="0"/>
    <n v="14"/>
    <n v="3"/>
    <n v="3"/>
    <n v="13"/>
    <n v="9"/>
    <n v="4"/>
    <n v="9"/>
    <n v="0"/>
    <x v="2"/>
    <x v="0"/>
    <x v="3"/>
    <x v="3"/>
    <x v="1"/>
  </r>
  <r>
    <x v="10"/>
    <x v="1"/>
    <x v="1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x v="1"/>
    <n v="13"/>
    <n v="3"/>
    <n v="2"/>
    <n v="1"/>
    <n v="2"/>
    <n v="2"/>
    <n v="4"/>
    <n v="2"/>
    <n v="2"/>
    <n v="2"/>
    <n v="2"/>
    <n v="0"/>
    <x v="2"/>
    <x v="1"/>
    <x v="2"/>
    <x v="0"/>
    <x v="3"/>
  </r>
  <r>
    <x v="23"/>
    <x v="0"/>
    <x v="0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x v="1"/>
    <n v="13"/>
    <n v="3"/>
    <n v="2"/>
    <n v="0"/>
    <n v="7"/>
    <n v="2"/>
    <n v="2"/>
    <n v="4"/>
    <n v="3"/>
    <n v="1"/>
    <n v="3"/>
    <n v="1"/>
    <x v="0"/>
    <x v="0"/>
    <x v="2"/>
    <x v="2"/>
    <x v="2"/>
  </r>
  <r>
    <x v="5"/>
    <x v="1"/>
    <x v="2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x v="1"/>
    <n v="12"/>
    <n v="3"/>
    <n v="3"/>
    <n v="3"/>
    <n v="1"/>
    <n v="3"/>
    <n v="3"/>
    <n v="1"/>
    <n v="0"/>
    <n v="0"/>
    <n v="0"/>
    <n v="0"/>
    <x v="2"/>
    <x v="1"/>
    <x v="1"/>
    <x v="3"/>
    <x v="1"/>
  </r>
  <r>
    <x v="29"/>
    <x v="1"/>
    <x v="0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x v="1"/>
    <n v="13"/>
    <n v="3"/>
    <n v="4"/>
    <n v="1"/>
    <n v="28"/>
    <n v="2"/>
    <n v="3"/>
    <n v="5"/>
    <n v="2"/>
    <n v="4"/>
    <n v="2"/>
    <n v="0"/>
    <x v="3"/>
    <x v="3"/>
    <x v="2"/>
    <x v="3"/>
    <x v="1"/>
  </r>
  <r>
    <x v="11"/>
    <x v="1"/>
    <x v="0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x v="1"/>
    <n v="13"/>
    <n v="3"/>
    <n v="1"/>
    <n v="1"/>
    <n v="10"/>
    <n v="5"/>
    <n v="3"/>
    <n v="10"/>
    <n v="8"/>
    <n v="0"/>
    <n v="8"/>
    <n v="0"/>
    <x v="2"/>
    <x v="0"/>
    <x v="0"/>
    <x v="0"/>
    <x v="1"/>
  </r>
  <r>
    <x v="37"/>
    <x v="1"/>
    <x v="0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x v="1"/>
    <n v="25"/>
    <n v="4"/>
    <n v="3"/>
    <n v="0"/>
    <n v="1"/>
    <n v="4"/>
    <n v="3"/>
    <n v="1"/>
    <n v="1"/>
    <n v="0"/>
    <n v="0"/>
    <n v="0"/>
    <x v="4"/>
    <x v="1"/>
    <x v="1"/>
    <x v="3"/>
    <x v="1"/>
  </r>
  <r>
    <x v="28"/>
    <x v="1"/>
    <x v="0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x v="0"/>
    <n v="19"/>
    <n v="3"/>
    <n v="3"/>
    <n v="1"/>
    <n v="7"/>
    <n v="2"/>
    <n v="2"/>
    <n v="3"/>
    <n v="2"/>
    <n v="0"/>
    <n v="2"/>
    <n v="0"/>
    <x v="0"/>
    <x v="0"/>
    <x v="2"/>
    <x v="2"/>
    <x v="2"/>
  </r>
  <r>
    <x v="2"/>
    <x v="1"/>
    <x v="0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x v="1"/>
    <n v="13"/>
    <n v="3"/>
    <n v="2"/>
    <n v="1"/>
    <n v="14"/>
    <n v="2"/>
    <n v="2"/>
    <n v="14"/>
    <n v="8"/>
    <n v="3"/>
    <n v="11"/>
    <n v="0"/>
    <x v="0"/>
    <x v="2"/>
    <x v="3"/>
    <x v="0"/>
    <x v="2"/>
  </r>
  <r>
    <x v="35"/>
    <x v="1"/>
    <x v="0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x v="1"/>
    <n v="12"/>
    <n v="3"/>
    <n v="1"/>
    <n v="0"/>
    <n v="2"/>
    <n v="2"/>
    <n v="2"/>
    <n v="2"/>
    <n v="2"/>
    <n v="1"/>
    <n v="2"/>
    <n v="0"/>
    <x v="4"/>
    <x v="0"/>
    <x v="2"/>
    <x v="2"/>
    <x v="2"/>
  </r>
  <r>
    <x v="20"/>
    <x v="0"/>
    <x v="0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x v="0"/>
    <n v="11"/>
    <n v="3"/>
    <n v="3"/>
    <n v="0"/>
    <n v="6"/>
    <n v="4"/>
    <n v="3"/>
    <n v="6"/>
    <n v="4"/>
    <n v="0"/>
    <n v="2"/>
    <n v="1"/>
    <x v="0"/>
    <x v="1"/>
    <x v="0"/>
    <x v="2"/>
    <x v="1"/>
  </r>
  <r>
    <x v="16"/>
    <x v="1"/>
    <x v="0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x v="1"/>
    <n v="18"/>
    <n v="3"/>
    <n v="2"/>
    <n v="1"/>
    <n v="26"/>
    <n v="6"/>
    <n v="3"/>
    <n v="7"/>
    <n v="7"/>
    <n v="4"/>
    <n v="7"/>
    <n v="0"/>
    <x v="1"/>
    <x v="3"/>
    <x v="0"/>
    <x v="2"/>
    <x v="1"/>
  </r>
  <r>
    <x v="11"/>
    <x v="1"/>
    <x v="0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x v="0"/>
    <n v="18"/>
    <n v="3"/>
    <n v="1"/>
    <n v="1"/>
    <n v="6"/>
    <n v="2"/>
    <n v="2"/>
    <n v="5"/>
    <n v="4"/>
    <n v="1"/>
    <n v="3"/>
    <n v="0"/>
    <x v="2"/>
    <x v="1"/>
    <x v="2"/>
    <x v="0"/>
    <x v="2"/>
  </r>
  <r>
    <x v="15"/>
    <x v="0"/>
    <x v="1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x v="0"/>
    <n v="11"/>
    <n v="3"/>
    <n v="2"/>
    <n v="1"/>
    <n v="1"/>
    <n v="5"/>
    <n v="3"/>
    <n v="0"/>
    <n v="0"/>
    <n v="0"/>
    <n v="0"/>
    <n v="1"/>
    <x v="4"/>
    <x v="1"/>
    <x v="1"/>
    <x v="0"/>
    <x v="1"/>
  </r>
  <r>
    <x v="21"/>
    <x v="1"/>
    <x v="0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  <n v="0"/>
    <x v="1"/>
    <x v="3"/>
    <x v="3"/>
    <x v="3"/>
    <x v="1"/>
  </r>
  <r>
    <x v="20"/>
    <x v="1"/>
    <x v="2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x v="1"/>
    <n v="13"/>
    <n v="3"/>
    <n v="4"/>
    <n v="0"/>
    <n v="6"/>
    <n v="3"/>
    <n v="3"/>
    <n v="0"/>
    <n v="0"/>
    <n v="0"/>
    <n v="0"/>
    <n v="0"/>
    <x v="0"/>
    <x v="1"/>
    <x v="1"/>
    <x v="2"/>
    <x v="1"/>
  </r>
  <r>
    <x v="3"/>
    <x v="1"/>
    <x v="0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x v="1"/>
    <n v="13"/>
    <n v="3"/>
    <n v="4"/>
    <n v="1"/>
    <n v="5"/>
    <n v="2"/>
    <n v="3"/>
    <n v="5"/>
    <n v="4"/>
    <n v="1"/>
    <n v="4"/>
    <n v="0"/>
    <x v="2"/>
    <x v="0"/>
    <x v="2"/>
    <x v="2"/>
    <x v="1"/>
  </r>
  <r>
    <x v="0"/>
    <x v="0"/>
    <x v="2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x v="1"/>
    <n v="17"/>
    <n v="3"/>
    <n v="1"/>
    <n v="1"/>
    <n v="5"/>
    <n v="2"/>
    <n v="1"/>
    <n v="1"/>
    <n v="0"/>
    <n v="0"/>
    <n v="0"/>
    <n v="1"/>
    <x v="0"/>
    <x v="1"/>
    <x v="1"/>
    <x v="3"/>
    <x v="0"/>
  </r>
  <r>
    <x v="7"/>
    <x v="1"/>
    <x v="0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x v="1"/>
    <n v="19"/>
    <n v="3"/>
    <n v="3"/>
    <n v="3"/>
    <n v="8"/>
    <n v="3"/>
    <n v="3"/>
    <n v="4"/>
    <n v="3"/>
    <n v="0"/>
    <n v="3"/>
    <n v="0"/>
    <x v="2"/>
    <x v="0"/>
    <x v="2"/>
    <x v="3"/>
    <x v="1"/>
  </r>
  <r>
    <x v="32"/>
    <x v="1"/>
    <x v="1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x v="1"/>
    <n v="12"/>
    <n v="3"/>
    <n v="4"/>
    <n v="3"/>
    <n v="5"/>
    <n v="2"/>
    <n v="3"/>
    <n v="0"/>
    <n v="0"/>
    <n v="0"/>
    <n v="0"/>
    <n v="0"/>
    <x v="0"/>
    <x v="0"/>
    <x v="1"/>
    <x v="1"/>
    <x v="1"/>
  </r>
  <r>
    <x v="24"/>
    <x v="1"/>
    <x v="1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x v="1"/>
    <n v="22"/>
    <n v="4"/>
    <n v="3"/>
    <n v="1"/>
    <n v="32"/>
    <n v="3"/>
    <n v="3"/>
    <n v="2"/>
    <n v="2"/>
    <n v="2"/>
    <n v="2"/>
    <n v="0"/>
    <x v="1"/>
    <x v="3"/>
    <x v="2"/>
    <x v="3"/>
    <x v="1"/>
  </r>
  <r>
    <x v="14"/>
    <x v="1"/>
    <x v="0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x v="1"/>
    <n v="12"/>
    <n v="3"/>
    <n v="3"/>
    <n v="3"/>
    <n v="6"/>
    <n v="2"/>
    <n v="3"/>
    <n v="6"/>
    <n v="5"/>
    <n v="3"/>
    <n v="3"/>
    <n v="0"/>
    <x v="2"/>
    <x v="0"/>
    <x v="0"/>
    <x v="3"/>
    <x v="1"/>
  </r>
  <r>
    <x v="21"/>
    <x v="1"/>
    <x v="0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x v="1"/>
    <n v="11"/>
    <n v="3"/>
    <n v="1"/>
    <n v="1"/>
    <n v="25"/>
    <n v="2"/>
    <n v="3"/>
    <n v="4"/>
    <n v="2"/>
    <n v="0"/>
    <n v="3"/>
    <n v="0"/>
    <x v="1"/>
    <x v="3"/>
    <x v="2"/>
    <x v="1"/>
    <x v="1"/>
  </r>
  <r>
    <x v="10"/>
    <x v="1"/>
    <x v="0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x v="0"/>
    <n v="15"/>
    <n v="3"/>
    <n v="4"/>
    <n v="3"/>
    <n v="15"/>
    <n v="2"/>
    <n v="3"/>
    <n v="7"/>
    <n v="7"/>
    <n v="1"/>
    <n v="7"/>
    <n v="0"/>
    <x v="2"/>
    <x v="2"/>
    <x v="0"/>
    <x v="3"/>
    <x v="1"/>
  </r>
  <r>
    <x v="17"/>
    <x v="0"/>
    <x v="0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x v="1"/>
    <n v="13"/>
    <n v="3"/>
    <n v="1"/>
    <n v="1"/>
    <n v="1"/>
    <n v="3"/>
    <n v="1"/>
    <n v="1"/>
    <n v="0"/>
    <n v="0"/>
    <n v="0"/>
    <n v="1"/>
    <x v="4"/>
    <x v="1"/>
    <x v="1"/>
    <x v="1"/>
    <x v="0"/>
  </r>
  <r>
    <x v="3"/>
    <x v="1"/>
    <x v="1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x v="1"/>
    <n v="12"/>
    <n v="3"/>
    <n v="1"/>
    <n v="1"/>
    <n v="10"/>
    <n v="3"/>
    <n v="2"/>
    <n v="10"/>
    <n v="7"/>
    <n v="0"/>
    <n v="1"/>
    <n v="0"/>
    <x v="2"/>
    <x v="0"/>
    <x v="0"/>
    <x v="2"/>
    <x v="2"/>
  </r>
  <r>
    <x v="9"/>
    <x v="1"/>
    <x v="0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x v="1"/>
    <n v="14"/>
    <n v="3"/>
    <n v="3"/>
    <n v="1"/>
    <n v="7"/>
    <n v="4"/>
    <n v="3"/>
    <n v="7"/>
    <n v="7"/>
    <n v="1"/>
    <n v="7"/>
    <n v="0"/>
    <x v="0"/>
    <x v="1"/>
    <x v="0"/>
    <x v="2"/>
    <x v="1"/>
  </r>
  <r>
    <x v="7"/>
    <x v="1"/>
    <x v="0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x v="1"/>
    <n v="13"/>
    <n v="3"/>
    <n v="1"/>
    <n v="3"/>
    <n v="10"/>
    <n v="4"/>
    <n v="2"/>
    <n v="10"/>
    <n v="7"/>
    <n v="8"/>
    <n v="9"/>
    <n v="0"/>
    <x v="2"/>
    <x v="0"/>
    <x v="0"/>
    <x v="2"/>
    <x v="2"/>
  </r>
  <r>
    <x v="20"/>
    <x v="1"/>
    <x v="0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x v="1"/>
    <n v="25"/>
    <n v="4"/>
    <n v="2"/>
    <n v="0"/>
    <n v="20"/>
    <n v="3"/>
    <n v="3"/>
    <n v="20"/>
    <n v="11"/>
    <n v="13"/>
    <n v="17"/>
    <n v="0"/>
    <x v="0"/>
    <x v="0"/>
    <x v="3"/>
    <x v="0"/>
    <x v="1"/>
  </r>
  <r>
    <x v="35"/>
    <x v="1"/>
    <x v="0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x v="1"/>
    <n v="17"/>
    <n v="3"/>
    <n v="4"/>
    <n v="0"/>
    <n v="2"/>
    <n v="2"/>
    <n v="3"/>
    <n v="2"/>
    <n v="1"/>
    <n v="2"/>
    <n v="2"/>
    <n v="0"/>
    <x v="4"/>
    <x v="1"/>
    <x v="2"/>
    <x v="0"/>
    <x v="1"/>
  </r>
  <r>
    <x v="21"/>
    <x v="1"/>
    <x v="0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x v="1"/>
    <n v="11"/>
    <n v="3"/>
    <n v="3"/>
    <n v="1"/>
    <n v="12"/>
    <n v="3"/>
    <n v="2"/>
    <n v="6"/>
    <n v="3"/>
    <n v="1"/>
    <n v="4"/>
    <n v="0"/>
    <x v="1"/>
    <x v="2"/>
    <x v="0"/>
    <x v="0"/>
    <x v="2"/>
  </r>
  <r>
    <x v="19"/>
    <x v="1"/>
    <x v="2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x v="1"/>
    <n v="16"/>
    <n v="3"/>
    <n v="1"/>
    <n v="1"/>
    <n v="10"/>
    <n v="3"/>
    <n v="4"/>
    <n v="4"/>
    <n v="3"/>
    <n v="0"/>
    <n v="3"/>
    <n v="0"/>
    <x v="0"/>
    <x v="2"/>
    <x v="2"/>
    <x v="3"/>
    <x v="3"/>
  </r>
  <r>
    <x v="42"/>
    <x v="1"/>
    <x v="0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x v="0"/>
    <n v="18"/>
    <n v="3"/>
    <n v="2"/>
    <n v="1"/>
    <n v="12"/>
    <n v="3"/>
    <n v="3"/>
    <n v="11"/>
    <n v="7"/>
    <n v="1"/>
    <n v="9"/>
    <n v="0"/>
    <x v="3"/>
    <x v="0"/>
    <x v="3"/>
    <x v="0"/>
    <x v="1"/>
  </r>
  <r>
    <x v="5"/>
    <x v="1"/>
    <x v="1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x v="1"/>
    <n v="20"/>
    <n v="4"/>
    <n v="3"/>
    <n v="1"/>
    <n v="2"/>
    <n v="2"/>
    <n v="3"/>
    <n v="2"/>
    <n v="2"/>
    <n v="2"/>
    <n v="2"/>
    <n v="0"/>
    <x v="2"/>
    <x v="1"/>
    <x v="2"/>
    <x v="1"/>
    <x v="1"/>
  </r>
  <r>
    <x v="5"/>
    <x v="1"/>
    <x v="1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x v="0"/>
    <n v="14"/>
    <n v="3"/>
    <n v="4"/>
    <n v="0"/>
    <n v="10"/>
    <n v="2"/>
    <n v="3"/>
    <n v="8"/>
    <n v="7"/>
    <n v="0"/>
    <n v="7"/>
    <n v="0"/>
    <x v="2"/>
    <x v="0"/>
    <x v="0"/>
    <x v="2"/>
    <x v="1"/>
  </r>
  <r>
    <x v="9"/>
    <x v="1"/>
    <x v="0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x v="0"/>
    <n v="21"/>
    <n v="4"/>
    <n v="3"/>
    <n v="1"/>
    <n v="17"/>
    <n v="2"/>
    <n v="3"/>
    <n v="7"/>
    <n v="7"/>
    <n v="7"/>
    <n v="7"/>
    <n v="0"/>
    <x v="0"/>
    <x v="3"/>
    <x v="0"/>
    <x v="3"/>
    <x v="1"/>
  </r>
  <r>
    <x v="3"/>
    <x v="1"/>
    <x v="0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x v="1"/>
    <n v="13"/>
    <n v="3"/>
    <n v="2"/>
    <n v="1"/>
    <n v="15"/>
    <n v="5"/>
    <n v="3"/>
    <n v="14"/>
    <n v="10"/>
    <n v="4"/>
    <n v="10"/>
    <n v="0"/>
    <x v="2"/>
    <x v="1"/>
    <x v="3"/>
    <x v="0"/>
    <x v="1"/>
  </r>
  <r>
    <x v="32"/>
    <x v="1"/>
    <x v="0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x v="1"/>
    <n v="12"/>
    <n v="3"/>
    <n v="2"/>
    <n v="1"/>
    <n v="7"/>
    <n v="2"/>
    <n v="4"/>
    <n v="5"/>
    <n v="1"/>
    <n v="1"/>
    <n v="3"/>
    <n v="0"/>
    <x v="0"/>
    <x v="2"/>
    <x v="2"/>
    <x v="1"/>
    <x v="3"/>
  </r>
  <r>
    <x v="36"/>
    <x v="1"/>
    <x v="0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x v="1"/>
    <n v="14"/>
    <n v="3"/>
    <n v="2"/>
    <n v="0"/>
    <n v="5"/>
    <n v="4"/>
    <n v="3"/>
    <n v="4"/>
    <n v="3"/>
    <n v="1"/>
    <n v="1"/>
    <n v="0"/>
    <x v="4"/>
    <x v="0"/>
    <x v="2"/>
    <x v="0"/>
    <x v="1"/>
  </r>
  <r>
    <x v="7"/>
    <x v="1"/>
    <x v="0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x v="0"/>
    <n v="21"/>
    <n v="4"/>
    <n v="1"/>
    <n v="1"/>
    <n v="12"/>
    <n v="2"/>
    <n v="3"/>
    <n v="11"/>
    <n v="9"/>
    <n v="5"/>
    <n v="7"/>
    <n v="0"/>
    <x v="2"/>
    <x v="0"/>
    <x v="3"/>
    <x v="1"/>
    <x v="1"/>
  </r>
  <r>
    <x v="19"/>
    <x v="1"/>
    <x v="1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x v="0"/>
    <n v="17"/>
    <n v="3"/>
    <n v="3"/>
    <n v="0"/>
    <n v="20"/>
    <n v="6"/>
    <n v="3"/>
    <n v="1"/>
    <n v="0"/>
    <n v="0"/>
    <n v="0"/>
    <n v="0"/>
    <x v="0"/>
    <x v="3"/>
    <x v="1"/>
    <x v="3"/>
    <x v="1"/>
  </r>
  <r>
    <x v="10"/>
    <x v="1"/>
    <x v="2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x v="0"/>
    <n v="11"/>
    <n v="3"/>
    <n v="2"/>
    <n v="1"/>
    <n v="16"/>
    <n v="6"/>
    <n v="2"/>
    <n v="13"/>
    <n v="2"/>
    <n v="4"/>
    <n v="12"/>
    <n v="0"/>
    <x v="2"/>
    <x v="3"/>
    <x v="3"/>
    <x v="0"/>
    <x v="2"/>
  </r>
  <r>
    <x v="4"/>
    <x v="1"/>
    <x v="0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x v="0"/>
    <n v="14"/>
    <n v="3"/>
    <n v="4"/>
    <n v="2"/>
    <n v="9"/>
    <n v="3"/>
    <n v="2"/>
    <n v="9"/>
    <n v="7"/>
    <n v="6"/>
    <n v="8"/>
    <n v="0"/>
    <x v="2"/>
    <x v="1"/>
    <x v="0"/>
    <x v="3"/>
    <x v="2"/>
  </r>
  <r>
    <x v="33"/>
    <x v="1"/>
    <x v="1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x v="1"/>
    <n v="17"/>
    <n v="3"/>
    <n v="1"/>
    <n v="1"/>
    <n v="33"/>
    <n v="2"/>
    <n v="1"/>
    <n v="5"/>
    <n v="4"/>
    <n v="1"/>
    <n v="4"/>
    <n v="0"/>
    <x v="1"/>
    <x v="3"/>
    <x v="2"/>
    <x v="2"/>
    <x v="0"/>
  </r>
  <r>
    <x v="20"/>
    <x v="1"/>
    <x v="0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x v="1"/>
    <n v="13"/>
    <n v="3"/>
    <n v="4"/>
    <n v="1"/>
    <n v="10"/>
    <n v="5"/>
    <n v="3"/>
    <n v="10"/>
    <n v="5"/>
    <n v="7"/>
    <n v="7"/>
    <n v="0"/>
    <x v="0"/>
    <x v="1"/>
    <x v="0"/>
    <x v="0"/>
    <x v="1"/>
  </r>
  <r>
    <x v="37"/>
    <x v="0"/>
    <x v="2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x v="0"/>
    <n v="25"/>
    <n v="4"/>
    <n v="2"/>
    <n v="0"/>
    <n v="1"/>
    <n v="2"/>
    <n v="4"/>
    <n v="1"/>
    <n v="1"/>
    <n v="0"/>
    <n v="0"/>
    <n v="1"/>
    <x v="4"/>
    <x v="1"/>
    <x v="1"/>
    <x v="1"/>
    <x v="3"/>
  </r>
  <r>
    <x v="11"/>
    <x v="1"/>
    <x v="0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x v="1"/>
    <n v="15"/>
    <n v="3"/>
    <n v="1"/>
    <n v="3"/>
    <n v="3"/>
    <n v="5"/>
    <n v="3"/>
    <n v="3"/>
    <n v="2"/>
    <n v="1"/>
    <n v="2"/>
    <n v="0"/>
    <x v="2"/>
    <x v="0"/>
    <x v="2"/>
    <x v="0"/>
    <x v="1"/>
  </r>
  <r>
    <x v="33"/>
    <x v="1"/>
    <x v="0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x v="1"/>
    <n v="14"/>
    <n v="3"/>
    <n v="1"/>
    <n v="0"/>
    <n v="36"/>
    <n v="2"/>
    <n v="3"/>
    <n v="10"/>
    <n v="9"/>
    <n v="0"/>
    <n v="9"/>
    <n v="0"/>
    <x v="1"/>
    <x v="3"/>
    <x v="0"/>
    <x v="0"/>
    <x v="1"/>
  </r>
  <r>
    <x v="12"/>
    <x v="1"/>
    <x v="0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x v="0"/>
    <n v="12"/>
    <n v="3"/>
    <n v="4"/>
    <n v="0"/>
    <n v="6"/>
    <n v="2"/>
    <n v="2"/>
    <n v="6"/>
    <n v="5"/>
    <n v="0"/>
    <n v="1"/>
    <n v="0"/>
    <x v="2"/>
    <x v="2"/>
    <x v="0"/>
    <x v="3"/>
    <x v="2"/>
  </r>
  <r>
    <x v="12"/>
    <x v="1"/>
    <x v="0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x v="1"/>
    <n v="19"/>
    <n v="3"/>
    <n v="2"/>
    <n v="0"/>
    <n v="10"/>
    <n v="2"/>
    <n v="3"/>
    <n v="10"/>
    <n v="9"/>
    <n v="1"/>
    <n v="8"/>
    <n v="0"/>
    <x v="2"/>
    <x v="2"/>
    <x v="0"/>
    <x v="3"/>
    <x v="1"/>
  </r>
  <r>
    <x v="6"/>
    <x v="1"/>
    <x v="0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x v="1"/>
    <n v="17"/>
    <n v="3"/>
    <n v="4"/>
    <n v="0"/>
    <n v="13"/>
    <n v="2"/>
    <n v="3"/>
    <n v="6"/>
    <n v="1"/>
    <n v="0"/>
    <n v="5"/>
    <n v="0"/>
    <x v="3"/>
    <x v="0"/>
    <x v="0"/>
    <x v="0"/>
    <x v="1"/>
  </r>
  <r>
    <x v="23"/>
    <x v="1"/>
    <x v="0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x v="1"/>
    <n v="14"/>
    <n v="3"/>
    <n v="2"/>
    <n v="1"/>
    <n v="25"/>
    <n v="2"/>
    <n v="3"/>
    <n v="8"/>
    <n v="7"/>
    <n v="0"/>
    <n v="7"/>
    <n v="0"/>
    <x v="0"/>
    <x v="3"/>
    <x v="0"/>
    <x v="0"/>
    <x v="1"/>
  </r>
  <r>
    <x v="1"/>
    <x v="1"/>
    <x v="0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x v="1"/>
    <n v="13"/>
    <n v="3"/>
    <n v="3"/>
    <n v="1"/>
    <n v="23"/>
    <n v="2"/>
    <n v="4"/>
    <n v="1"/>
    <n v="0"/>
    <n v="0"/>
    <n v="0"/>
    <n v="0"/>
    <x v="1"/>
    <x v="3"/>
    <x v="1"/>
    <x v="2"/>
    <x v="3"/>
  </r>
  <r>
    <x v="9"/>
    <x v="1"/>
    <x v="1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x v="1"/>
    <n v="12"/>
    <n v="3"/>
    <n v="3"/>
    <n v="0"/>
    <n v="12"/>
    <n v="2"/>
    <n v="2"/>
    <n v="11"/>
    <n v="10"/>
    <n v="0"/>
    <n v="7"/>
    <n v="0"/>
    <x v="0"/>
    <x v="0"/>
    <x v="3"/>
    <x v="1"/>
    <x v="2"/>
  </r>
  <r>
    <x v="26"/>
    <x v="1"/>
    <x v="0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x v="1"/>
    <n v="11"/>
    <n v="3"/>
    <n v="3"/>
    <n v="0"/>
    <n v="7"/>
    <n v="4"/>
    <n v="2"/>
    <n v="1"/>
    <n v="0"/>
    <n v="0"/>
    <n v="0"/>
    <n v="0"/>
    <x v="1"/>
    <x v="1"/>
    <x v="1"/>
    <x v="1"/>
    <x v="2"/>
  </r>
  <r>
    <x v="4"/>
    <x v="1"/>
    <x v="0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x v="1"/>
    <n v="11"/>
    <n v="3"/>
    <n v="2"/>
    <n v="3"/>
    <n v="5"/>
    <n v="2"/>
    <n v="3"/>
    <n v="5"/>
    <n v="3"/>
    <n v="0"/>
    <n v="3"/>
    <n v="0"/>
    <x v="2"/>
    <x v="1"/>
    <x v="2"/>
    <x v="2"/>
    <x v="1"/>
  </r>
  <r>
    <x v="11"/>
    <x v="1"/>
    <x v="0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x v="0"/>
    <n v="11"/>
    <n v="3"/>
    <n v="2"/>
    <n v="2"/>
    <n v="6"/>
    <n v="2"/>
    <n v="3"/>
    <n v="6"/>
    <n v="0"/>
    <n v="1"/>
    <n v="0"/>
    <n v="0"/>
    <x v="2"/>
    <x v="2"/>
    <x v="0"/>
    <x v="0"/>
    <x v="1"/>
  </r>
  <r>
    <x v="26"/>
    <x v="1"/>
    <x v="0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x v="1"/>
    <n v="12"/>
    <n v="3"/>
    <n v="3"/>
    <n v="0"/>
    <n v="25"/>
    <n v="3"/>
    <n v="4"/>
    <n v="1"/>
    <n v="0"/>
    <n v="0"/>
    <n v="0"/>
    <n v="0"/>
    <x v="1"/>
    <x v="3"/>
    <x v="1"/>
    <x v="0"/>
    <x v="3"/>
  </r>
  <r>
    <x v="11"/>
    <x v="1"/>
    <x v="0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x v="1"/>
    <n v="14"/>
    <n v="3"/>
    <n v="2"/>
    <n v="2"/>
    <n v="9"/>
    <n v="2"/>
    <n v="2"/>
    <n v="7"/>
    <n v="7"/>
    <n v="1"/>
    <n v="7"/>
    <n v="0"/>
    <x v="2"/>
    <x v="3"/>
    <x v="0"/>
    <x v="0"/>
    <x v="2"/>
  </r>
  <r>
    <x v="13"/>
    <x v="1"/>
    <x v="0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x v="1"/>
    <n v="17"/>
    <n v="3"/>
    <n v="4"/>
    <n v="0"/>
    <n v="2"/>
    <n v="5"/>
    <n v="2"/>
    <n v="1"/>
    <n v="0"/>
    <n v="0"/>
    <n v="0"/>
    <n v="0"/>
    <x v="2"/>
    <x v="1"/>
    <x v="1"/>
    <x v="2"/>
    <x v="2"/>
  </r>
  <r>
    <x v="20"/>
    <x v="1"/>
    <x v="0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x v="1"/>
    <n v="11"/>
    <n v="3"/>
    <n v="3"/>
    <n v="1"/>
    <n v="26"/>
    <n v="5"/>
    <n v="3"/>
    <n v="22"/>
    <n v="9"/>
    <n v="3"/>
    <n v="10"/>
    <n v="0"/>
    <x v="0"/>
    <x v="3"/>
    <x v="3"/>
    <x v="1"/>
    <x v="1"/>
  </r>
  <r>
    <x v="3"/>
    <x v="1"/>
    <x v="0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x v="0"/>
    <n v="14"/>
    <n v="3"/>
    <n v="4"/>
    <n v="2"/>
    <n v="10"/>
    <n v="3"/>
    <n v="3"/>
    <n v="9"/>
    <n v="8"/>
    <n v="0"/>
    <n v="8"/>
    <n v="0"/>
    <x v="2"/>
    <x v="2"/>
    <x v="0"/>
    <x v="2"/>
    <x v="1"/>
  </r>
  <r>
    <x v="37"/>
    <x v="1"/>
    <x v="0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x v="0"/>
    <n v="12"/>
    <n v="3"/>
    <n v="4"/>
    <n v="0"/>
    <n v="1"/>
    <n v="2"/>
    <n v="3"/>
    <n v="1"/>
    <n v="0"/>
    <n v="0"/>
    <n v="1"/>
    <n v="0"/>
    <x v="4"/>
    <x v="1"/>
    <x v="1"/>
    <x v="0"/>
    <x v="1"/>
  </r>
  <r>
    <x v="30"/>
    <x v="1"/>
    <x v="0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x v="1"/>
    <n v="22"/>
    <n v="4"/>
    <n v="4"/>
    <n v="1"/>
    <n v="1"/>
    <n v="2"/>
    <n v="3"/>
    <n v="1"/>
    <n v="0"/>
    <n v="0"/>
    <n v="1"/>
    <n v="0"/>
    <x v="4"/>
    <x v="1"/>
    <x v="1"/>
    <x v="2"/>
    <x v="1"/>
  </r>
  <r>
    <x v="36"/>
    <x v="0"/>
    <x v="1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x v="0"/>
    <n v="14"/>
    <n v="3"/>
    <n v="4"/>
    <n v="0"/>
    <n v="1"/>
    <n v="4"/>
    <n v="3"/>
    <n v="1"/>
    <n v="0"/>
    <n v="1"/>
    <n v="0"/>
    <n v="1"/>
    <x v="4"/>
    <x v="1"/>
    <x v="1"/>
    <x v="0"/>
    <x v="1"/>
  </r>
  <r>
    <x v="25"/>
    <x v="1"/>
    <x v="0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x v="0"/>
    <n v="20"/>
    <n v="4"/>
    <n v="2"/>
    <n v="0"/>
    <n v="8"/>
    <n v="2"/>
    <n v="2"/>
    <n v="8"/>
    <n v="5"/>
    <n v="2"/>
    <n v="2"/>
    <n v="0"/>
    <x v="2"/>
    <x v="1"/>
    <x v="0"/>
    <x v="0"/>
    <x v="2"/>
  </r>
  <r>
    <x v="28"/>
    <x v="0"/>
    <x v="0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x v="0"/>
    <n v="16"/>
    <n v="3"/>
    <n v="1"/>
    <n v="0"/>
    <n v="26"/>
    <n v="2"/>
    <n v="3"/>
    <n v="24"/>
    <n v="10"/>
    <n v="1"/>
    <n v="11"/>
    <n v="1"/>
    <x v="0"/>
    <x v="3"/>
    <x v="3"/>
    <x v="1"/>
    <x v="1"/>
  </r>
  <r>
    <x v="27"/>
    <x v="1"/>
    <x v="2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  <n v="0"/>
    <x v="1"/>
    <x v="3"/>
    <x v="3"/>
    <x v="1"/>
    <x v="1"/>
  </r>
  <r>
    <x v="18"/>
    <x v="0"/>
    <x v="1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x v="1"/>
    <n v="20"/>
    <n v="4"/>
    <n v="3"/>
    <n v="0"/>
    <n v="2"/>
    <n v="2"/>
    <n v="1"/>
    <n v="2"/>
    <n v="2"/>
    <n v="2"/>
    <n v="2"/>
    <n v="1"/>
    <x v="4"/>
    <x v="1"/>
    <x v="2"/>
    <x v="2"/>
    <x v="0"/>
  </r>
  <r>
    <x v="21"/>
    <x v="1"/>
    <x v="0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x v="1"/>
    <n v="14"/>
    <n v="3"/>
    <n v="3"/>
    <n v="1"/>
    <n v="26"/>
    <n v="2"/>
    <n v="3"/>
    <n v="11"/>
    <n v="4"/>
    <n v="0"/>
    <n v="8"/>
    <n v="0"/>
    <x v="1"/>
    <x v="3"/>
    <x v="3"/>
    <x v="1"/>
    <x v="1"/>
  </r>
  <r>
    <x v="13"/>
    <x v="1"/>
    <x v="0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x v="0"/>
    <n v="12"/>
    <n v="3"/>
    <n v="4"/>
    <n v="0"/>
    <n v="4"/>
    <n v="3"/>
    <n v="3"/>
    <n v="3"/>
    <n v="2"/>
    <n v="0"/>
    <n v="2"/>
    <n v="0"/>
    <x v="2"/>
    <x v="0"/>
    <x v="2"/>
    <x v="3"/>
    <x v="1"/>
  </r>
  <r>
    <x v="31"/>
    <x v="1"/>
    <x v="1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  <n v="0"/>
    <x v="1"/>
    <x v="3"/>
    <x v="3"/>
    <x v="1"/>
    <x v="2"/>
  </r>
  <r>
    <x v="6"/>
    <x v="1"/>
    <x v="0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x v="1"/>
    <n v="12"/>
    <n v="3"/>
    <n v="4"/>
    <n v="0"/>
    <n v="25"/>
    <n v="6"/>
    <n v="2"/>
    <n v="9"/>
    <n v="7"/>
    <n v="5"/>
    <n v="4"/>
    <n v="0"/>
    <x v="3"/>
    <x v="3"/>
    <x v="0"/>
    <x v="0"/>
    <x v="2"/>
  </r>
  <r>
    <x v="13"/>
    <x v="1"/>
    <x v="1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x v="1"/>
    <n v="13"/>
    <n v="3"/>
    <n v="3"/>
    <n v="2"/>
    <n v="15"/>
    <n v="2"/>
    <n v="4"/>
    <n v="11"/>
    <n v="8"/>
    <n v="5"/>
    <n v="10"/>
    <n v="0"/>
    <x v="2"/>
    <x v="0"/>
    <x v="3"/>
    <x v="1"/>
    <x v="3"/>
  </r>
  <r>
    <x v="14"/>
    <x v="1"/>
    <x v="1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x v="0"/>
    <n v="11"/>
    <n v="3"/>
    <n v="3"/>
    <n v="0"/>
    <n v="5"/>
    <n v="2"/>
    <n v="2"/>
    <n v="4"/>
    <n v="2"/>
    <n v="0"/>
    <n v="2"/>
    <n v="0"/>
    <x v="2"/>
    <x v="1"/>
    <x v="2"/>
    <x v="2"/>
    <x v="2"/>
  </r>
  <r>
    <x v="20"/>
    <x v="1"/>
    <x v="0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  <n v="0"/>
    <x v="0"/>
    <x v="3"/>
    <x v="3"/>
    <x v="3"/>
    <x v="2"/>
  </r>
  <r>
    <x v="13"/>
    <x v="1"/>
    <x v="1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x v="1"/>
    <n v="11"/>
    <n v="3"/>
    <n v="4"/>
    <n v="2"/>
    <n v="14"/>
    <n v="5"/>
    <n v="4"/>
    <n v="10"/>
    <n v="9"/>
    <n v="1"/>
    <n v="8"/>
    <n v="0"/>
    <x v="2"/>
    <x v="0"/>
    <x v="0"/>
    <x v="1"/>
    <x v="3"/>
  </r>
  <r>
    <x v="10"/>
    <x v="1"/>
    <x v="0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x v="0"/>
    <n v="14"/>
    <n v="3"/>
    <n v="4"/>
    <n v="0"/>
    <n v="4"/>
    <n v="3"/>
    <n v="3"/>
    <n v="3"/>
    <n v="2"/>
    <n v="2"/>
    <n v="2"/>
    <n v="0"/>
    <x v="2"/>
    <x v="0"/>
    <x v="2"/>
    <x v="2"/>
    <x v="1"/>
  </r>
  <r>
    <x v="19"/>
    <x v="1"/>
    <x v="0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x v="0"/>
    <n v="16"/>
    <n v="3"/>
    <n v="4"/>
    <n v="0"/>
    <n v="18"/>
    <n v="2"/>
    <n v="3"/>
    <n v="1"/>
    <n v="0"/>
    <n v="0"/>
    <n v="0"/>
    <n v="0"/>
    <x v="0"/>
    <x v="1"/>
    <x v="1"/>
    <x v="1"/>
    <x v="1"/>
  </r>
  <r>
    <x v="23"/>
    <x v="1"/>
    <x v="0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x v="1"/>
    <n v="14"/>
    <n v="3"/>
    <n v="4"/>
    <n v="0"/>
    <n v="23"/>
    <n v="3"/>
    <n v="4"/>
    <n v="21"/>
    <n v="7"/>
    <n v="15"/>
    <n v="17"/>
    <n v="0"/>
    <x v="0"/>
    <x v="3"/>
    <x v="3"/>
    <x v="0"/>
    <x v="3"/>
  </r>
  <r>
    <x v="9"/>
    <x v="1"/>
    <x v="0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x v="0"/>
    <n v="11"/>
    <n v="3"/>
    <n v="4"/>
    <n v="0"/>
    <n v="18"/>
    <n v="2"/>
    <n v="3"/>
    <n v="16"/>
    <n v="14"/>
    <n v="5"/>
    <n v="12"/>
    <n v="0"/>
    <x v="0"/>
    <x v="0"/>
    <x v="3"/>
    <x v="1"/>
    <x v="1"/>
  </r>
  <r>
    <x v="20"/>
    <x v="0"/>
    <x v="0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x v="1"/>
    <n v="11"/>
    <n v="3"/>
    <n v="4"/>
    <n v="1"/>
    <n v="10"/>
    <n v="2"/>
    <n v="3"/>
    <n v="10"/>
    <n v="7"/>
    <n v="0"/>
    <n v="5"/>
    <n v="1"/>
    <x v="0"/>
    <x v="2"/>
    <x v="0"/>
    <x v="0"/>
    <x v="1"/>
  </r>
  <r>
    <x v="14"/>
    <x v="1"/>
    <x v="1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x v="0"/>
    <n v="12"/>
    <n v="3"/>
    <n v="2"/>
    <n v="1"/>
    <n v="2"/>
    <n v="2"/>
    <n v="3"/>
    <n v="2"/>
    <n v="2"/>
    <n v="2"/>
    <n v="2"/>
    <n v="0"/>
    <x v="2"/>
    <x v="0"/>
    <x v="2"/>
    <x v="0"/>
    <x v="1"/>
  </r>
  <r>
    <x v="31"/>
    <x v="1"/>
    <x v="1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x v="1"/>
    <n v="14"/>
    <n v="3"/>
    <n v="2"/>
    <n v="0"/>
    <n v="8"/>
    <n v="6"/>
    <n v="2"/>
    <n v="7"/>
    <n v="0"/>
    <n v="7"/>
    <n v="7"/>
    <n v="0"/>
    <x v="1"/>
    <x v="1"/>
    <x v="0"/>
    <x v="2"/>
    <x v="2"/>
  </r>
  <r>
    <x v="7"/>
    <x v="1"/>
    <x v="2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x v="0"/>
    <n v="18"/>
    <n v="3"/>
    <n v="3"/>
    <n v="0"/>
    <n v="10"/>
    <n v="3"/>
    <n v="3"/>
    <n v="8"/>
    <n v="4"/>
    <n v="1"/>
    <n v="7"/>
    <n v="0"/>
    <x v="2"/>
    <x v="0"/>
    <x v="0"/>
    <x v="2"/>
    <x v="1"/>
  </r>
  <r>
    <x v="11"/>
    <x v="0"/>
    <x v="0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x v="0"/>
    <n v="13"/>
    <n v="3"/>
    <n v="1"/>
    <n v="2"/>
    <n v="10"/>
    <n v="2"/>
    <n v="3"/>
    <n v="7"/>
    <n v="7"/>
    <n v="7"/>
    <n v="7"/>
    <n v="1"/>
    <x v="2"/>
    <x v="0"/>
    <x v="0"/>
    <x v="2"/>
    <x v="1"/>
  </r>
  <r>
    <x v="14"/>
    <x v="1"/>
    <x v="0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x v="1"/>
    <n v="11"/>
    <n v="3"/>
    <n v="2"/>
    <n v="0"/>
    <n v="5"/>
    <n v="2"/>
    <n v="2"/>
    <n v="3"/>
    <n v="2"/>
    <n v="1"/>
    <n v="2"/>
    <n v="0"/>
    <x v="2"/>
    <x v="1"/>
    <x v="2"/>
    <x v="3"/>
    <x v="2"/>
  </r>
  <r>
    <x v="36"/>
    <x v="1"/>
    <x v="0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x v="1"/>
    <n v="18"/>
    <n v="3"/>
    <n v="4"/>
    <n v="0"/>
    <n v="2"/>
    <n v="3"/>
    <n v="2"/>
    <n v="2"/>
    <n v="2"/>
    <n v="2"/>
    <n v="1"/>
    <n v="0"/>
    <x v="4"/>
    <x v="1"/>
    <x v="2"/>
    <x v="1"/>
    <x v="2"/>
  </r>
  <r>
    <x v="5"/>
    <x v="1"/>
    <x v="0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x v="1"/>
    <n v="15"/>
    <n v="3"/>
    <n v="3"/>
    <n v="2"/>
    <n v="10"/>
    <n v="4"/>
    <n v="4"/>
    <n v="10"/>
    <n v="7"/>
    <n v="0"/>
    <n v="8"/>
    <n v="0"/>
    <x v="2"/>
    <x v="2"/>
    <x v="0"/>
    <x v="0"/>
    <x v="3"/>
  </r>
  <r>
    <x v="28"/>
    <x v="1"/>
    <x v="1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x v="1"/>
    <n v="22"/>
    <n v="4"/>
    <n v="3"/>
    <n v="0"/>
    <n v="22"/>
    <n v="4"/>
    <n v="3"/>
    <n v="0"/>
    <n v="0"/>
    <n v="0"/>
    <n v="0"/>
    <n v="0"/>
    <x v="0"/>
    <x v="3"/>
    <x v="1"/>
    <x v="1"/>
    <x v="1"/>
  </r>
  <r>
    <x v="22"/>
    <x v="1"/>
    <x v="0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  <n v="0"/>
    <x v="0"/>
    <x v="3"/>
    <x v="3"/>
    <x v="1"/>
    <x v="1"/>
  </r>
  <r>
    <x v="34"/>
    <x v="1"/>
    <x v="0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x v="1"/>
    <n v="12"/>
    <n v="3"/>
    <n v="4"/>
    <n v="2"/>
    <n v="2"/>
    <n v="3"/>
    <n v="3"/>
    <n v="2"/>
    <n v="2"/>
    <n v="2"/>
    <n v="2"/>
    <n v="0"/>
    <x v="3"/>
    <x v="1"/>
    <x v="2"/>
    <x v="2"/>
    <x v="1"/>
  </r>
  <r>
    <x v="5"/>
    <x v="0"/>
    <x v="0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x v="1"/>
    <n v="18"/>
    <n v="3"/>
    <n v="1"/>
    <n v="1"/>
    <n v="10"/>
    <n v="3"/>
    <n v="3"/>
    <n v="10"/>
    <n v="4"/>
    <n v="1"/>
    <n v="1"/>
    <n v="1"/>
    <x v="2"/>
    <x v="0"/>
    <x v="0"/>
    <x v="2"/>
    <x v="1"/>
  </r>
  <r>
    <x v="22"/>
    <x v="0"/>
    <x v="0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x v="1"/>
    <n v="13"/>
    <n v="3"/>
    <n v="1"/>
    <n v="0"/>
    <n v="6"/>
    <n v="2"/>
    <n v="3"/>
    <n v="5"/>
    <n v="2"/>
    <n v="0"/>
    <n v="3"/>
    <n v="1"/>
    <x v="0"/>
    <x v="0"/>
    <x v="2"/>
    <x v="3"/>
    <x v="1"/>
  </r>
  <r>
    <x v="7"/>
    <x v="1"/>
    <x v="0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x v="1"/>
    <n v="12"/>
    <n v="3"/>
    <n v="1"/>
    <n v="1"/>
    <n v="10"/>
    <n v="6"/>
    <n v="3"/>
    <n v="9"/>
    <n v="2"/>
    <n v="6"/>
    <n v="7"/>
    <n v="0"/>
    <x v="2"/>
    <x v="0"/>
    <x v="0"/>
    <x v="0"/>
    <x v="1"/>
  </r>
  <r>
    <x v="9"/>
    <x v="1"/>
    <x v="0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x v="1"/>
    <n v="12"/>
    <n v="3"/>
    <n v="1"/>
    <n v="0"/>
    <n v="10"/>
    <n v="0"/>
    <n v="3"/>
    <n v="7"/>
    <n v="7"/>
    <n v="1"/>
    <n v="7"/>
    <n v="0"/>
    <x v="0"/>
    <x v="2"/>
    <x v="0"/>
    <x v="2"/>
    <x v="1"/>
  </r>
  <r>
    <x v="21"/>
    <x v="1"/>
    <x v="0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x v="1"/>
    <n v="12"/>
    <n v="3"/>
    <n v="3"/>
    <n v="0"/>
    <n v="10"/>
    <n v="3"/>
    <n v="4"/>
    <n v="7"/>
    <n v="6"/>
    <n v="5"/>
    <n v="7"/>
    <n v="0"/>
    <x v="1"/>
    <x v="0"/>
    <x v="0"/>
    <x v="3"/>
    <x v="3"/>
  </r>
  <r>
    <x v="14"/>
    <x v="1"/>
    <x v="2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x v="1"/>
    <n v="11"/>
    <n v="3"/>
    <n v="1"/>
    <n v="3"/>
    <n v="10"/>
    <n v="6"/>
    <n v="3"/>
    <n v="9"/>
    <n v="8"/>
    <n v="7"/>
    <n v="5"/>
    <n v="0"/>
    <x v="2"/>
    <x v="2"/>
    <x v="0"/>
    <x v="0"/>
    <x v="1"/>
  </r>
  <r>
    <x v="24"/>
    <x v="1"/>
    <x v="0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x v="0"/>
    <n v="11"/>
    <n v="3"/>
    <n v="2"/>
    <n v="0"/>
    <n v="25"/>
    <n v="2"/>
    <n v="3"/>
    <n v="3"/>
    <n v="2"/>
    <n v="1"/>
    <n v="2"/>
    <n v="0"/>
    <x v="1"/>
    <x v="3"/>
    <x v="2"/>
    <x v="3"/>
    <x v="1"/>
  </r>
  <r>
    <x v="32"/>
    <x v="0"/>
    <x v="0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x v="0"/>
    <n v="12"/>
    <n v="3"/>
    <n v="3"/>
    <n v="0"/>
    <n v="9"/>
    <n v="2"/>
    <n v="3"/>
    <n v="5"/>
    <n v="4"/>
    <n v="1"/>
    <n v="0"/>
    <n v="1"/>
    <x v="0"/>
    <x v="2"/>
    <x v="2"/>
    <x v="1"/>
    <x v="1"/>
  </r>
  <r>
    <x v="39"/>
    <x v="0"/>
    <x v="0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x v="0"/>
    <n v="19"/>
    <n v="3"/>
    <n v="3"/>
    <n v="0"/>
    <n v="10"/>
    <n v="2"/>
    <n v="2"/>
    <n v="8"/>
    <n v="7"/>
    <n v="7"/>
    <n v="7"/>
    <n v="1"/>
    <x v="1"/>
    <x v="2"/>
    <x v="0"/>
    <x v="1"/>
    <x v="2"/>
  </r>
  <r>
    <x v="7"/>
    <x v="1"/>
    <x v="0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x v="0"/>
    <n v="23"/>
    <n v="4"/>
    <n v="4"/>
    <n v="2"/>
    <n v="9"/>
    <n v="2"/>
    <n v="3"/>
    <n v="9"/>
    <n v="1"/>
    <n v="0"/>
    <n v="8"/>
    <n v="0"/>
    <x v="2"/>
    <x v="3"/>
    <x v="0"/>
    <x v="3"/>
    <x v="1"/>
  </r>
  <r>
    <x v="22"/>
    <x v="1"/>
    <x v="0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x v="1"/>
    <n v="11"/>
    <n v="3"/>
    <n v="1"/>
    <n v="0"/>
    <n v="9"/>
    <n v="6"/>
    <n v="3"/>
    <n v="8"/>
    <n v="7"/>
    <n v="1"/>
    <n v="7"/>
    <n v="0"/>
    <x v="0"/>
    <x v="0"/>
    <x v="0"/>
    <x v="2"/>
    <x v="1"/>
  </r>
  <r>
    <x v="12"/>
    <x v="1"/>
    <x v="2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x v="0"/>
    <n v="19"/>
    <n v="3"/>
    <n v="1"/>
    <n v="1"/>
    <n v="10"/>
    <n v="5"/>
    <n v="2"/>
    <n v="10"/>
    <n v="8"/>
    <n v="9"/>
    <n v="6"/>
    <n v="0"/>
    <x v="2"/>
    <x v="2"/>
    <x v="0"/>
    <x v="2"/>
    <x v="2"/>
  </r>
  <r>
    <x v="0"/>
    <x v="1"/>
    <x v="2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x v="1"/>
    <n v="13"/>
    <n v="3"/>
    <n v="1"/>
    <n v="0"/>
    <n v="19"/>
    <n v="4"/>
    <n v="3"/>
    <n v="19"/>
    <n v="2"/>
    <n v="11"/>
    <n v="9"/>
    <n v="0"/>
    <x v="0"/>
    <x v="2"/>
    <x v="3"/>
    <x v="1"/>
    <x v="1"/>
  </r>
  <r>
    <x v="12"/>
    <x v="0"/>
    <x v="1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x v="0"/>
    <n v="11"/>
    <n v="3"/>
    <n v="1"/>
    <n v="0"/>
    <n v="3"/>
    <n v="2"/>
    <n v="4"/>
    <n v="3"/>
    <n v="2"/>
    <n v="2"/>
    <n v="2"/>
    <n v="1"/>
    <x v="2"/>
    <x v="1"/>
    <x v="2"/>
    <x v="1"/>
    <x v="3"/>
  </r>
  <r>
    <x v="20"/>
    <x v="0"/>
    <x v="0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x v="1"/>
    <n v="12"/>
    <n v="3"/>
    <n v="3"/>
    <n v="0"/>
    <n v="10"/>
    <n v="4"/>
    <n v="4"/>
    <n v="3"/>
    <n v="2"/>
    <n v="1"/>
    <n v="2"/>
    <n v="1"/>
    <x v="0"/>
    <x v="1"/>
    <x v="2"/>
    <x v="3"/>
    <x v="3"/>
  </r>
  <r>
    <x v="19"/>
    <x v="1"/>
    <x v="2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x v="0"/>
    <n v="13"/>
    <n v="3"/>
    <n v="4"/>
    <n v="0"/>
    <n v="21"/>
    <n v="3"/>
    <n v="2"/>
    <n v="20"/>
    <n v="8"/>
    <n v="2"/>
    <n v="10"/>
    <n v="0"/>
    <x v="0"/>
    <x v="3"/>
    <x v="3"/>
    <x v="2"/>
    <x v="2"/>
  </r>
  <r>
    <x v="27"/>
    <x v="1"/>
    <x v="0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x v="1"/>
    <n v="14"/>
    <n v="3"/>
    <n v="4"/>
    <n v="1"/>
    <n v="23"/>
    <n v="5"/>
    <n v="3"/>
    <n v="19"/>
    <n v="9"/>
    <n v="9"/>
    <n v="11"/>
    <n v="0"/>
    <x v="1"/>
    <x v="3"/>
    <x v="3"/>
    <x v="2"/>
    <x v="1"/>
  </r>
  <r>
    <x v="29"/>
    <x v="1"/>
    <x v="0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x v="1"/>
    <n v="14"/>
    <n v="3"/>
    <n v="1"/>
    <n v="0"/>
    <n v="36"/>
    <n v="4"/>
    <n v="3"/>
    <n v="7"/>
    <n v="3"/>
    <n v="7"/>
    <n v="7"/>
    <n v="0"/>
    <x v="3"/>
    <x v="3"/>
    <x v="0"/>
    <x v="1"/>
    <x v="1"/>
  </r>
  <r>
    <x v="32"/>
    <x v="1"/>
    <x v="2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x v="1"/>
    <n v="16"/>
    <n v="3"/>
    <n v="2"/>
    <n v="1"/>
    <n v="6"/>
    <n v="0"/>
    <n v="3"/>
    <n v="4"/>
    <n v="2"/>
    <n v="0"/>
    <n v="0"/>
    <n v="0"/>
    <x v="0"/>
    <x v="0"/>
    <x v="2"/>
    <x v="2"/>
    <x v="1"/>
  </r>
  <r>
    <x v="13"/>
    <x v="1"/>
    <x v="0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x v="1"/>
    <n v="11"/>
    <n v="3"/>
    <n v="4"/>
    <n v="1"/>
    <n v="10"/>
    <n v="0"/>
    <n v="2"/>
    <n v="9"/>
    <n v="7"/>
    <n v="1"/>
    <n v="6"/>
    <n v="0"/>
    <x v="2"/>
    <x v="2"/>
    <x v="0"/>
    <x v="0"/>
    <x v="2"/>
  </r>
  <r>
    <x v="32"/>
    <x v="1"/>
    <x v="0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x v="1"/>
    <n v="13"/>
    <n v="3"/>
    <n v="3"/>
    <n v="0"/>
    <n v="9"/>
    <n v="4"/>
    <n v="3"/>
    <n v="9"/>
    <n v="8"/>
    <n v="8"/>
    <n v="8"/>
    <n v="0"/>
    <x v="0"/>
    <x v="0"/>
    <x v="0"/>
    <x v="0"/>
    <x v="1"/>
  </r>
  <r>
    <x v="0"/>
    <x v="1"/>
    <x v="1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x v="1"/>
    <n v="17"/>
    <n v="3"/>
    <n v="4"/>
    <n v="1"/>
    <n v="10"/>
    <n v="2"/>
    <n v="3"/>
    <n v="9"/>
    <n v="3"/>
    <n v="1"/>
    <n v="7"/>
    <n v="0"/>
    <x v="0"/>
    <x v="0"/>
    <x v="0"/>
    <x v="3"/>
    <x v="1"/>
  </r>
  <r>
    <x v="10"/>
    <x v="1"/>
    <x v="1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x v="0"/>
    <n v="11"/>
    <n v="3"/>
    <n v="2"/>
    <n v="0"/>
    <n v="9"/>
    <n v="3"/>
    <n v="3"/>
    <n v="9"/>
    <n v="6"/>
    <n v="1"/>
    <n v="1"/>
    <n v="0"/>
    <x v="2"/>
    <x v="0"/>
    <x v="0"/>
    <x v="2"/>
    <x v="1"/>
  </r>
  <r>
    <x v="31"/>
    <x v="1"/>
    <x v="0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  <n v="0"/>
    <x v="1"/>
    <x v="3"/>
    <x v="3"/>
    <x v="1"/>
    <x v="1"/>
  </r>
  <r>
    <x v="8"/>
    <x v="1"/>
    <x v="0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x v="1"/>
    <n v="15"/>
    <n v="3"/>
    <n v="4"/>
    <n v="1"/>
    <n v="11"/>
    <n v="3"/>
    <n v="3"/>
    <n v="7"/>
    <n v="7"/>
    <n v="1"/>
    <n v="7"/>
    <n v="0"/>
    <x v="0"/>
    <x v="2"/>
    <x v="0"/>
    <x v="3"/>
    <x v="1"/>
  </r>
  <r>
    <x v="13"/>
    <x v="1"/>
    <x v="0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x v="1"/>
    <n v="12"/>
    <n v="3"/>
    <n v="4"/>
    <n v="0"/>
    <n v="10"/>
    <n v="6"/>
    <n v="4"/>
    <n v="10"/>
    <n v="8"/>
    <n v="9"/>
    <n v="6"/>
    <n v="0"/>
    <x v="2"/>
    <x v="2"/>
    <x v="0"/>
    <x v="3"/>
    <x v="3"/>
  </r>
  <r>
    <x v="36"/>
    <x v="1"/>
    <x v="0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x v="1"/>
    <n v="11"/>
    <n v="3"/>
    <n v="3"/>
    <n v="3"/>
    <n v="7"/>
    <n v="6"/>
    <n v="2"/>
    <n v="3"/>
    <n v="2"/>
    <n v="1"/>
    <n v="2"/>
    <n v="0"/>
    <x v="4"/>
    <x v="0"/>
    <x v="2"/>
    <x v="0"/>
    <x v="2"/>
  </r>
  <r>
    <x v="34"/>
    <x v="0"/>
    <x v="0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x v="0"/>
    <n v="14"/>
    <n v="3"/>
    <n v="4"/>
    <n v="0"/>
    <n v="31"/>
    <n v="0"/>
    <n v="2"/>
    <n v="10"/>
    <n v="9"/>
    <n v="5"/>
    <n v="9"/>
    <n v="1"/>
    <x v="3"/>
    <x v="3"/>
    <x v="0"/>
    <x v="3"/>
    <x v="2"/>
  </r>
  <r>
    <x v="32"/>
    <x v="1"/>
    <x v="0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x v="1"/>
    <n v="22"/>
    <n v="4"/>
    <n v="3"/>
    <n v="1"/>
    <n v="7"/>
    <n v="3"/>
    <n v="3"/>
    <n v="4"/>
    <n v="2"/>
    <n v="0"/>
    <n v="3"/>
    <n v="0"/>
    <x v="0"/>
    <x v="1"/>
    <x v="2"/>
    <x v="1"/>
    <x v="1"/>
  </r>
  <r>
    <x v="9"/>
    <x v="1"/>
    <x v="1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x v="1"/>
    <n v="16"/>
    <n v="3"/>
    <n v="4"/>
    <n v="1"/>
    <n v="17"/>
    <n v="2"/>
    <n v="2"/>
    <n v="15"/>
    <n v="7"/>
    <n v="6"/>
    <n v="13"/>
    <n v="0"/>
    <x v="0"/>
    <x v="0"/>
    <x v="3"/>
    <x v="3"/>
    <x v="2"/>
  </r>
  <r>
    <x v="26"/>
    <x v="1"/>
    <x v="0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x v="1"/>
    <n v="11"/>
    <n v="3"/>
    <n v="3"/>
    <n v="0"/>
    <n v="11"/>
    <n v="2"/>
    <n v="3"/>
    <n v="10"/>
    <n v="9"/>
    <n v="0"/>
    <n v="8"/>
    <n v="0"/>
    <x v="1"/>
    <x v="2"/>
    <x v="0"/>
    <x v="0"/>
    <x v="1"/>
  </r>
  <r>
    <x v="4"/>
    <x v="1"/>
    <x v="0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x v="1"/>
    <n v="14"/>
    <n v="3"/>
    <n v="2"/>
    <n v="1"/>
    <n v="5"/>
    <n v="4"/>
    <n v="3"/>
    <n v="1"/>
    <n v="0"/>
    <n v="0"/>
    <n v="0"/>
    <n v="0"/>
    <x v="2"/>
    <x v="1"/>
    <x v="1"/>
    <x v="0"/>
    <x v="1"/>
  </r>
  <r>
    <x v="31"/>
    <x v="1"/>
    <x v="0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x v="1"/>
    <n v="16"/>
    <n v="3"/>
    <n v="2"/>
    <n v="0"/>
    <n v="29"/>
    <n v="1"/>
    <n v="2"/>
    <n v="5"/>
    <n v="2"/>
    <n v="0"/>
    <n v="3"/>
    <n v="0"/>
    <x v="1"/>
    <x v="3"/>
    <x v="2"/>
    <x v="1"/>
    <x v="2"/>
  </r>
  <r>
    <x v="41"/>
    <x v="1"/>
    <x v="2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x v="1"/>
    <n v="15"/>
    <n v="3"/>
    <n v="3"/>
    <n v="0"/>
    <n v="0"/>
    <n v="5"/>
    <n v="4"/>
    <n v="0"/>
    <n v="0"/>
    <n v="0"/>
    <n v="0"/>
    <n v="0"/>
    <x v="4"/>
    <x v="1"/>
    <x v="1"/>
    <x v="0"/>
    <x v="3"/>
  </r>
  <r>
    <x v="10"/>
    <x v="1"/>
    <x v="0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x v="1"/>
    <n v="12"/>
    <n v="3"/>
    <n v="2"/>
    <n v="1"/>
    <n v="10"/>
    <n v="0"/>
    <n v="3"/>
    <n v="9"/>
    <n v="7"/>
    <n v="0"/>
    <n v="0"/>
    <n v="0"/>
    <x v="2"/>
    <x v="0"/>
    <x v="0"/>
    <x v="0"/>
    <x v="1"/>
  </r>
  <r>
    <x v="4"/>
    <x v="1"/>
    <x v="1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x v="1"/>
    <n v="20"/>
    <n v="4"/>
    <n v="2"/>
    <n v="0"/>
    <n v="8"/>
    <n v="3"/>
    <n v="3"/>
    <n v="6"/>
    <n v="2"/>
    <n v="0"/>
    <n v="0"/>
    <n v="0"/>
    <x v="2"/>
    <x v="0"/>
    <x v="0"/>
    <x v="0"/>
    <x v="1"/>
  </r>
  <r>
    <x v="27"/>
    <x v="0"/>
    <x v="0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x v="0"/>
    <n v="17"/>
    <n v="3"/>
    <n v="3"/>
    <n v="0"/>
    <n v="24"/>
    <n v="2"/>
    <n v="2"/>
    <n v="19"/>
    <n v="7"/>
    <n v="3"/>
    <n v="8"/>
    <n v="1"/>
    <x v="1"/>
    <x v="3"/>
    <x v="3"/>
    <x v="2"/>
    <x v="2"/>
  </r>
  <r>
    <x v="29"/>
    <x v="1"/>
    <x v="0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  <n v="0"/>
    <x v="3"/>
    <x v="3"/>
    <x v="3"/>
    <x v="1"/>
    <x v="1"/>
  </r>
  <r>
    <x v="13"/>
    <x v="1"/>
    <x v="2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x v="1"/>
    <n v="20"/>
    <n v="4"/>
    <n v="3"/>
    <n v="3"/>
    <n v="5"/>
    <n v="2"/>
    <n v="3"/>
    <n v="5"/>
    <n v="4"/>
    <n v="0"/>
    <n v="0"/>
    <n v="0"/>
    <x v="2"/>
    <x v="1"/>
    <x v="2"/>
    <x v="2"/>
    <x v="1"/>
  </r>
  <r>
    <x v="32"/>
    <x v="1"/>
    <x v="0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  <n v="0"/>
    <x v="0"/>
    <x v="2"/>
    <x v="3"/>
    <x v="2"/>
    <x v="1"/>
  </r>
  <r>
    <x v="13"/>
    <x v="1"/>
    <x v="0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x v="1"/>
    <n v="13"/>
    <n v="3"/>
    <n v="1"/>
    <n v="2"/>
    <n v="10"/>
    <n v="1"/>
    <n v="3"/>
    <n v="8"/>
    <n v="7"/>
    <n v="7"/>
    <n v="7"/>
    <n v="0"/>
    <x v="2"/>
    <x v="0"/>
    <x v="0"/>
    <x v="2"/>
    <x v="1"/>
  </r>
  <r>
    <x v="12"/>
    <x v="0"/>
    <x v="1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x v="1"/>
    <n v="14"/>
    <n v="3"/>
    <n v="3"/>
    <n v="0"/>
    <n v="3"/>
    <n v="3"/>
    <n v="4"/>
    <n v="1"/>
    <n v="0"/>
    <n v="0"/>
    <n v="0"/>
    <n v="1"/>
    <x v="2"/>
    <x v="1"/>
    <x v="1"/>
    <x v="0"/>
    <x v="3"/>
  </r>
  <r>
    <x v="10"/>
    <x v="0"/>
    <x v="1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x v="0"/>
    <n v="18"/>
    <n v="3"/>
    <n v="3"/>
    <n v="1"/>
    <n v="5"/>
    <n v="0"/>
    <n v="2"/>
    <n v="4"/>
    <n v="2"/>
    <n v="3"/>
    <n v="2"/>
    <n v="1"/>
    <x v="2"/>
    <x v="0"/>
    <x v="2"/>
    <x v="2"/>
    <x v="2"/>
  </r>
  <r>
    <x v="8"/>
    <x v="1"/>
    <x v="1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x v="1"/>
    <n v="11"/>
    <n v="3"/>
    <n v="4"/>
    <n v="3"/>
    <n v="4"/>
    <n v="2"/>
    <n v="3"/>
    <n v="4"/>
    <n v="2"/>
    <n v="0"/>
    <n v="3"/>
    <n v="0"/>
    <x v="0"/>
    <x v="1"/>
    <x v="2"/>
    <x v="2"/>
    <x v="1"/>
  </r>
  <r>
    <x v="13"/>
    <x v="1"/>
    <x v="0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x v="1"/>
    <n v="11"/>
    <n v="3"/>
    <n v="4"/>
    <n v="0"/>
    <n v="14"/>
    <n v="2"/>
    <n v="4"/>
    <n v="14"/>
    <n v="11"/>
    <n v="4"/>
    <n v="11"/>
    <n v="0"/>
    <x v="2"/>
    <x v="2"/>
    <x v="3"/>
    <x v="0"/>
    <x v="3"/>
  </r>
  <r>
    <x v="14"/>
    <x v="1"/>
    <x v="0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x v="1"/>
    <n v="11"/>
    <n v="3"/>
    <n v="3"/>
    <n v="1"/>
    <n v="5"/>
    <n v="0"/>
    <n v="3"/>
    <n v="5"/>
    <n v="3"/>
    <n v="0"/>
    <n v="4"/>
    <n v="0"/>
    <x v="2"/>
    <x v="0"/>
    <x v="2"/>
    <x v="3"/>
    <x v="1"/>
  </r>
  <r>
    <x v="12"/>
    <x v="0"/>
    <x v="0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x v="0"/>
    <n v="15"/>
    <n v="3"/>
    <n v="4"/>
    <n v="2"/>
    <n v="10"/>
    <n v="3"/>
    <n v="2"/>
    <n v="10"/>
    <n v="2"/>
    <n v="6"/>
    <n v="7"/>
    <n v="1"/>
    <x v="2"/>
    <x v="2"/>
    <x v="0"/>
    <x v="2"/>
    <x v="2"/>
  </r>
  <r>
    <x v="22"/>
    <x v="1"/>
    <x v="0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x v="0"/>
    <n v="12"/>
    <n v="3"/>
    <n v="4"/>
    <n v="2"/>
    <n v="8"/>
    <n v="2"/>
    <n v="4"/>
    <n v="5"/>
    <n v="4"/>
    <n v="1"/>
    <n v="4"/>
    <n v="0"/>
    <x v="0"/>
    <x v="2"/>
    <x v="2"/>
    <x v="0"/>
    <x v="3"/>
  </r>
  <r>
    <x v="31"/>
    <x v="1"/>
    <x v="1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x v="1"/>
    <n v="11"/>
    <n v="3"/>
    <n v="2"/>
    <n v="0"/>
    <n v="14"/>
    <n v="5"/>
    <n v="3"/>
    <n v="4"/>
    <n v="2"/>
    <n v="3"/>
    <n v="2"/>
    <n v="0"/>
    <x v="1"/>
    <x v="3"/>
    <x v="2"/>
    <x v="1"/>
    <x v="1"/>
  </r>
  <r>
    <x v="0"/>
    <x v="1"/>
    <x v="1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x v="0"/>
    <n v="14"/>
    <n v="3"/>
    <n v="1"/>
    <n v="2"/>
    <n v="12"/>
    <n v="4"/>
    <n v="2"/>
    <n v="6"/>
    <n v="2"/>
    <n v="3"/>
    <n v="3"/>
    <n v="0"/>
    <x v="0"/>
    <x v="0"/>
    <x v="0"/>
    <x v="0"/>
    <x v="2"/>
  </r>
  <r>
    <x v="2"/>
    <x v="1"/>
    <x v="0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x v="0"/>
    <n v="15"/>
    <n v="3"/>
    <n v="4"/>
    <n v="0"/>
    <n v="8"/>
    <n v="2"/>
    <n v="3"/>
    <n v="6"/>
    <n v="4"/>
    <n v="1"/>
    <n v="3"/>
    <n v="0"/>
    <x v="0"/>
    <x v="1"/>
    <x v="0"/>
    <x v="2"/>
    <x v="1"/>
  </r>
  <r>
    <x v="3"/>
    <x v="1"/>
    <x v="1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x v="1"/>
    <n v="13"/>
    <n v="3"/>
    <n v="1"/>
    <n v="0"/>
    <n v="8"/>
    <n v="2"/>
    <n v="4"/>
    <n v="5"/>
    <n v="4"/>
    <n v="1"/>
    <n v="2"/>
    <n v="0"/>
    <x v="2"/>
    <x v="2"/>
    <x v="2"/>
    <x v="0"/>
    <x v="3"/>
  </r>
  <r>
    <x v="5"/>
    <x v="1"/>
    <x v="0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x v="0"/>
    <n v="13"/>
    <n v="3"/>
    <n v="1"/>
    <n v="3"/>
    <n v="4"/>
    <n v="3"/>
    <n v="2"/>
    <n v="3"/>
    <n v="2"/>
    <n v="1"/>
    <n v="2"/>
    <n v="0"/>
    <x v="2"/>
    <x v="0"/>
    <x v="2"/>
    <x v="1"/>
    <x v="2"/>
  </r>
  <r>
    <x v="22"/>
    <x v="1"/>
    <x v="2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x v="1"/>
    <n v="21"/>
    <n v="4"/>
    <n v="2"/>
    <n v="1"/>
    <n v="13"/>
    <n v="2"/>
    <n v="3"/>
    <n v="6"/>
    <n v="4"/>
    <n v="0"/>
    <n v="5"/>
    <n v="0"/>
    <x v="0"/>
    <x v="3"/>
    <x v="0"/>
    <x v="2"/>
    <x v="1"/>
  </r>
  <r>
    <x v="36"/>
    <x v="1"/>
    <x v="0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x v="1"/>
    <n v="11"/>
    <n v="3"/>
    <n v="2"/>
    <n v="0"/>
    <n v="6"/>
    <n v="3"/>
    <n v="2"/>
    <n v="3"/>
    <n v="2"/>
    <n v="1"/>
    <n v="2"/>
    <n v="0"/>
    <x v="4"/>
    <x v="2"/>
    <x v="2"/>
    <x v="2"/>
    <x v="2"/>
  </r>
  <r>
    <x v="39"/>
    <x v="1"/>
    <x v="1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x v="0"/>
    <n v="11"/>
    <n v="3"/>
    <n v="2"/>
    <n v="1"/>
    <n v="24"/>
    <n v="3"/>
    <n v="2"/>
    <n v="5"/>
    <n v="3"/>
    <n v="0"/>
    <n v="2"/>
    <n v="0"/>
    <x v="1"/>
    <x v="3"/>
    <x v="2"/>
    <x v="2"/>
    <x v="2"/>
  </r>
  <r>
    <x v="23"/>
    <x v="1"/>
    <x v="0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x v="0"/>
    <n v="14"/>
    <n v="3"/>
    <n v="1"/>
    <n v="0"/>
    <n v="20"/>
    <n v="3"/>
    <n v="1"/>
    <n v="20"/>
    <n v="7"/>
    <n v="1"/>
    <n v="8"/>
    <n v="0"/>
    <x v="0"/>
    <x v="0"/>
    <x v="3"/>
    <x v="2"/>
    <x v="0"/>
  </r>
  <r>
    <x v="4"/>
    <x v="1"/>
    <x v="0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x v="0"/>
    <n v="11"/>
    <n v="3"/>
    <n v="4"/>
    <n v="0"/>
    <n v="6"/>
    <n v="3"/>
    <n v="3"/>
    <n v="6"/>
    <n v="2"/>
    <n v="4"/>
    <n v="4"/>
    <n v="0"/>
    <x v="2"/>
    <x v="0"/>
    <x v="0"/>
    <x v="0"/>
    <x v="1"/>
  </r>
  <r>
    <x v="4"/>
    <x v="0"/>
    <x v="0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x v="0"/>
    <n v="13"/>
    <n v="3"/>
    <n v="4"/>
    <n v="0"/>
    <n v="8"/>
    <n v="2"/>
    <n v="3"/>
    <n v="8"/>
    <n v="2"/>
    <n v="7"/>
    <n v="7"/>
    <n v="1"/>
    <x v="2"/>
    <x v="1"/>
    <x v="0"/>
    <x v="2"/>
    <x v="1"/>
  </r>
  <r>
    <x v="25"/>
    <x v="1"/>
    <x v="0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x v="1"/>
    <n v="12"/>
    <n v="3"/>
    <n v="4"/>
    <n v="0"/>
    <n v="5"/>
    <n v="2"/>
    <n v="3"/>
    <n v="4"/>
    <n v="3"/>
    <n v="1"/>
    <n v="1"/>
    <n v="0"/>
    <x v="2"/>
    <x v="0"/>
    <x v="2"/>
    <x v="0"/>
    <x v="1"/>
  </r>
  <r>
    <x v="19"/>
    <x v="1"/>
    <x v="0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x v="1"/>
    <n v="14"/>
    <n v="3"/>
    <n v="3"/>
    <n v="1"/>
    <n v="21"/>
    <n v="5"/>
    <n v="3"/>
    <n v="20"/>
    <n v="7"/>
    <n v="0"/>
    <n v="9"/>
    <n v="0"/>
    <x v="0"/>
    <x v="3"/>
    <x v="3"/>
    <x v="3"/>
    <x v="1"/>
  </r>
  <r>
    <x v="39"/>
    <x v="1"/>
    <x v="0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x v="1"/>
    <n v="13"/>
    <n v="3"/>
    <n v="3"/>
    <n v="0"/>
    <n v="12"/>
    <n v="2"/>
    <n v="1"/>
    <n v="5"/>
    <n v="4"/>
    <n v="0"/>
    <n v="4"/>
    <n v="0"/>
    <x v="1"/>
    <x v="1"/>
    <x v="2"/>
    <x v="3"/>
    <x v="0"/>
  </r>
  <r>
    <x v="2"/>
    <x v="1"/>
    <x v="0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x v="1"/>
    <n v="18"/>
    <n v="3"/>
    <n v="1"/>
    <n v="0"/>
    <n v="8"/>
    <n v="6"/>
    <n v="3"/>
    <n v="3"/>
    <n v="2"/>
    <n v="0"/>
    <n v="2"/>
    <n v="0"/>
    <x v="0"/>
    <x v="0"/>
    <x v="2"/>
    <x v="2"/>
    <x v="1"/>
  </r>
  <r>
    <x v="10"/>
    <x v="1"/>
    <x v="1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x v="1"/>
    <n v="11"/>
    <n v="3"/>
    <n v="3"/>
    <n v="0"/>
    <n v="10"/>
    <n v="2"/>
    <n v="3"/>
    <n v="2"/>
    <n v="2"/>
    <n v="2"/>
    <n v="2"/>
    <n v="0"/>
    <x v="2"/>
    <x v="2"/>
    <x v="2"/>
    <x v="0"/>
    <x v="1"/>
  </r>
  <r>
    <x v="36"/>
    <x v="1"/>
    <x v="0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x v="1"/>
    <n v="11"/>
    <n v="3"/>
    <n v="2"/>
    <n v="1"/>
    <n v="7"/>
    <n v="2"/>
    <n v="2"/>
    <n v="3"/>
    <n v="2"/>
    <n v="0"/>
    <n v="2"/>
    <n v="0"/>
    <x v="4"/>
    <x v="0"/>
    <x v="2"/>
    <x v="0"/>
    <x v="2"/>
  </r>
  <r>
    <x v="25"/>
    <x v="1"/>
    <x v="0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x v="1"/>
    <n v="12"/>
    <n v="3"/>
    <n v="4"/>
    <n v="0"/>
    <n v="8"/>
    <n v="2"/>
    <n v="3"/>
    <n v="7"/>
    <n v="7"/>
    <n v="0"/>
    <n v="7"/>
    <n v="0"/>
    <x v="2"/>
    <x v="0"/>
    <x v="0"/>
    <x v="3"/>
    <x v="1"/>
  </r>
  <r>
    <x v="11"/>
    <x v="1"/>
    <x v="0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x v="1"/>
    <n v="13"/>
    <n v="3"/>
    <n v="1"/>
    <n v="0"/>
    <n v="10"/>
    <n v="3"/>
    <n v="2"/>
    <n v="10"/>
    <n v="9"/>
    <n v="0"/>
    <n v="9"/>
    <n v="0"/>
    <x v="2"/>
    <x v="2"/>
    <x v="0"/>
    <x v="3"/>
    <x v="2"/>
  </r>
  <r>
    <x v="1"/>
    <x v="0"/>
    <x v="1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x v="1"/>
    <n v="20"/>
    <n v="4"/>
    <n v="1"/>
    <n v="0"/>
    <n v="20"/>
    <n v="2"/>
    <n v="3"/>
    <n v="4"/>
    <n v="3"/>
    <n v="1"/>
    <n v="3"/>
    <n v="1"/>
    <x v="1"/>
    <x v="0"/>
    <x v="2"/>
    <x v="3"/>
    <x v="1"/>
  </r>
  <r>
    <x v="11"/>
    <x v="0"/>
    <x v="1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x v="0"/>
    <n v="12"/>
    <n v="3"/>
    <n v="1"/>
    <n v="0"/>
    <n v="9"/>
    <n v="1"/>
    <n v="3"/>
    <n v="8"/>
    <n v="7"/>
    <n v="7"/>
    <n v="7"/>
    <n v="1"/>
    <x v="2"/>
    <x v="2"/>
    <x v="0"/>
    <x v="0"/>
    <x v="1"/>
  </r>
  <r>
    <x v="33"/>
    <x v="1"/>
    <x v="0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x v="1"/>
    <n v="19"/>
    <n v="3"/>
    <n v="4"/>
    <n v="0"/>
    <n v="29"/>
    <n v="3"/>
    <n v="2"/>
    <n v="20"/>
    <n v="7"/>
    <n v="12"/>
    <n v="7"/>
    <n v="0"/>
    <x v="1"/>
    <x v="3"/>
    <x v="3"/>
    <x v="0"/>
    <x v="2"/>
  </r>
  <r>
    <x v="34"/>
    <x v="1"/>
    <x v="0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x v="0"/>
    <n v="21"/>
    <n v="4"/>
    <n v="3"/>
    <n v="1"/>
    <n v="32"/>
    <n v="3"/>
    <n v="3"/>
    <n v="9"/>
    <n v="8"/>
    <n v="1"/>
    <n v="5"/>
    <n v="0"/>
    <x v="3"/>
    <x v="3"/>
    <x v="0"/>
    <x v="3"/>
    <x v="1"/>
  </r>
  <r>
    <x v="27"/>
    <x v="1"/>
    <x v="0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x v="1"/>
    <n v="13"/>
    <n v="3"/>
    <n v="4"/>
    <n v="2"/>
    <n v="31"/>
    <n v="4"/>
    <n v="4"/>
    <n v="7"/>
    <n v="7"/>
    <n v="0"/>
    <n v="0"/>
    <n v="0"/>
    <x v="1"/>
    <x v="3"/>
    <x v="0"/>
    <x v="0"/>
    <x v="3"/>
  </r>
  <r>
    <x v="9"/>
    <x v="1"/>
    <x v="0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x v="0"/>
    <n v="16"/>
    <n v="3"/>
    <n v="4"/>
    <n v="0"/>
    <n v="15"/>
    <n v="3"/>
    <n v="3"/>
    <n v="5"/>
    <n v="4"/>
    <n v="0"/>
    <n v="1"/>
    <n v="0"/>
    <x v="0"/>
    <x v="2"/>
    <x v="2"/>
    <x v="1"/>
    <x v="1"/>
  </r>
  <r>
    <x v="12"/>
    <x v="0"/>
    <x v="1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x v="1"/>
    <n v="12"/>
    <n v="3"/>
    <n v="2"/>
    <n v="0"/>
    <n v="1"/>
    <n v="3"/>
    <n v="3"/>
    <n v="1"/>
    <n v="0"/>
    <n v="0"/>
    <n v="0"/>
    <n v="1"/>
    <x v="2"/>
    <x v="1"/>
    <x v="1"/>
    <x v="2"/>
    <x v="1"/>
  </r>
  <r>
    <x v="7"/>
    <x v="1"/>
    <x v="0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x v="1"/>
    <n v="14"/>
    <n v="3"/>
    <n v="2"/>
    <n v="2"/>
    <n v="8"/>
    <n v="3"/>
    <n v="3"/>
    <n v="3"/>
    <n v="2"/>
    <n v="0"/>
    <n v="2"/>
    <n v="0"/>
    <x v="2"/>
    <x v="0"/>
    <x v="2"/>
    <x v="3"/>
    <x v="1"/>
  </r>
  <r>
    <x v="12"/>
    <x v="1"/>
    <x v="0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x v="1"/>
    <n v="11"/>
    <n v="3"/>
    <n v="3"/>
    <n v="0"/>
    <n v="9"/>
    <n v="3"/>
    <n v="4"/>
    <n v="3"/>
    <n v="2"/>
    <n v="1"/>
    <n v="0"/>
    <n v="0"/>
    <x v="2"/>
    <x v="3"/>
    <x v="2"/>
    <x v="1"/>
    <x v="3"/>
  </r>
  <r>
    <x v="13"/>
    <x v="1"/>
    <x v="1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x v="1"/>
    <n v="14"/>
    <n v="3"/>
    <n v="3"/>
    <n v="2"/>
    <n v="10"/>
    <n v="2"/>
    <n v="3"/>
    <n v="4"/>
    <n v="3"/>
    <n v="1"/>
    <n v="3"/>
    <n v="0"/>
    <x v="2"/>
    <x v="1"/>
    <x v="2"/>
    <x v="3"/>
    <x v="1"/>
  </r>
  <r>
    <x v="12"/>
    <x v="0"/>
    <x v="0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x v="1"/>
    <n v="12"/>
    <n v="3"/>
    <n v="3"/>
    <n v="0"/>
    <n v="1"/>
    <n v="3"/>
    <n v="4"/>
    <n v="1"/>
    <n v="0"/>
    <n v="0"/>
    <n v="0"/>
    <n v="1"/>
    <x v="2"/>
    <x v="1"/>
    <x v="1"/>
    <x v="1"/>
    <x v="3"/>
  </r>
  <r>
    <x v="4"/>
    <x v="1"/>
    <x v="0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x v="1"/>
    <n v="14"/>
    <n v="3"/>
    <n v="2"/>
    <n v="0"/>
    <n v="6"/>
    <n v="3"/>
    <n v="4"/>
    <n v="5"/>
    <n v="0"/>
    <n v="1"/>
    <n v="4"/>
    <n v="0"/>
    <x v="2"/>
    <x v="1"/>
    <x v="2"/>
    <x v="3"/>
    <x v="3"/>
  </r>
  <r>
    <x v="9"/>
    <x v="1"/>
    <x v="0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x v="1"/>
    <n v="16"/>
    <n v="3"/>
    <n v="3"/>
    <n v="0"/>
    <n v="10"/>
    <n v="2"/>
    <n v="2"/>
    <n v="10"/>
    <n v="4"/>
    <n v="1"/>
    <n v="8"/>
    <n v="0"/>
    <x v="0"/>
    <x v="0"/>
    <x v="0"/>
    <x v="0"/>
    <x v="2"/>
  </r>
  <r>
    <x v="9"/>
    <x v="1"/>
    <x v="0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x v="1"/>
    <n v="13"/>
    <n v="3"/>
    <n v="1"/>
    <n v="2"/>
    <n v="11"/>
    <n v="3"/>
    <n v="2"/>
    <n v="3"/>
    <n v="2"/>
    <n v="0"/>
    <n v="2"/>
    <n v="0"/>
    <x v="0"/>
    <x v="0"/>
    <x v="2"/>
    <x v="3"/>
    <x v="2"/>
  </r>
  <r>
    <x v="40"/>
    <x v="1"/>
    <x v="0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x v="1"/>
    <n v="12"/>
    <n v="3"/>
    <n v="3"/>
    <n v="1"/>
    <n v="17"/>
    <n v="2"/>
    <n v="2"/>
    <n v="6"/>
    <n v="5"/>
    <n v="1"/>
    <n v="2"/>
    <n v="0"/>
    <x v="1"/>
    <x v="0"/>
    <x v="0"/>
    <x v="0"/>
    <x v="2"/>
  </r>
  <r>
    <x v="36"/>
    <x v="0"/>
    <x v="0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x v="1"/>
    <n v="12"/>
    <n v="3"/>
    <n v="1"/>
    <n v="0"/>
    <n v="6"/>
    <n v="2"/>
    <n v="3"/>
    <n v="3"/>
    <n v="2"/>
    <n v="2"/>
    <n v="2"/>
    <n v="1"/>
    <x v="4"/>
    <x v="0"/>
    <x v="2"/>
    <x v="3"/>
    <x v="1"/>
  </r>
  <r>
    <x v="2"/>
    <x v="1"/>
    <x v="2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x v="1"/>
    <n v="14"/>
    <n v="3"/>
    <n v="1"/>
    <n v="0"/>
    <n v="7"/>
    <n v="2"/>
    <n v="1"/>
    <n v="6"/>
    <n v="5"/>
    <n v="1"/>
    <n v="3"/>
    <n v="0"/>
    <x v="0"/>
    <x v="0"/>
    <x v="0"/>
    <x v="2"/>
    <x v="0"/>
  </r>
  <r>
    <x v="29"/>
    <x v="1"/>
    <x v="0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x v="1"/>
    <n v="22"/>
    <n v="4"/>
    <n v="4"/>
    <n v="1"/>
    <n v="5"/>
    <n v="3"/>
    <n v="4"/>
    <n v="3"/>
    <n v="2"/>
    <n v="1"/>
    <n v="0"/>
    <n v="0"/>
    <x v="3"/>
    <x v="1"/>
    <x v="2"/>
    <x v="3"/>
    <x v="3"/>
  </r>
  <r>
    <x v="40"/>
    <x v="1"/>
    <x v="0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x v="1"/>
    <n v="19"/>
    <n v="3"/>
    <n v="2"/>
    <n v="2"/>
    <n v="26"/>
    <n v="2"/>
    <n v="4"/>
    <n v="20"/>
    <n v="17"/>
    <n v="5"/>
    <n v="6"/>
    <n v="0"/>
    <x v="1"/>
    <x v="3"/>
    <x v="3"/>
    <x v="2"/>
    <x v="3"/>
  </r>
  <r>
    <x v="17"/>
    <x v="1"/>
    <x v="0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x v="0"/>
    <n v="12"/>
    <n v="3"/>
    <n v="3"/>
    <n v="2"/>
    <n v="5"/>
    <n v="3"/>
    <n v="3"/>
    <n v="5"/>
    <n v="4"/>
    <n v="0"/>
    <n v="3"/>
    <n v="0"/>
    <x v="4"/>
    <x v="0"/>
    <x v="2"/>
    <x v="2"/>
    <x v="1"/>
  </r>
  <r>
    <x v="5"/>
    <x v="1"/>
    <x v="0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x v="1"/>
    <n v="12"/>
    <n v="3"/>
    <n v="3"/>
    <n v="1"/>
    <n v="7"/>
    <n v="3"/>
    <n v="2"/>
    <n v="4"/>
    <n v="3"/>
    <n v="0"/>
    <n v="3"/>
    <n v="0"/>
    <x v="2"/>
    <x v="2"/>
    <x v="2"/>
    <x v="0"/>
    <x v="2"/>
  </r>
  <r>
    <x v="13"/>
    <x v="1"/>
    <x v="0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x v="1"/>
    <n v="17"/>
    <n v="3"/>
    <n v="1"/>
    <n v="1"/>
    <n v="7"/>
    <n v="2"/>
    <n v="2"/>
    <n v="5"/>
    <n v="4"/>
    <n v="0"/>
    <n v="2"/>
    <n v="0"/>
    <x v="2"/>
    <x v="0"/>
    <x v="2"/>
    <x v="1"/>
    <x v="2"/>
  </r>
  <r>
    <x v="0"/>
    <x v="1"/>
    <x v="0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x v="0"/>
    <n v="12"/>
    <n v="3"/>
    <n v="1"/>
    <n v="0"/>
    <n v="7"/>
    <n v="5"/>
    <n v="2"/>
    <n v="4"/>
    <n v="2"/>
    <n v="0"/>
    <n v="3"/>
    <n v="0"/>
    <x v="0"/>
    <x v="1"/>
    <x v="2"/>
    <x v="2"/>
    <x v="2"/>
  </r>
  <r>
    <x v="32"/>
    <x v="1"/>
    <x v="2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x v="1"/>
    <n v="11"/>
    <n v="3"/>
    <n v="3"/>
    <n v="2"/>
    <n v="11"/>
    <n v="2"/>
    <n v="4"/>
    <n v="8"/>
    <n v="7"/>
    <n v="0"/>
    <n v="7"/>
    <n v="0"/>
    <x v="0"/>
    <x v="0"/>
    <x v="0"/>
    <x v="2"/>
    <x v="3"/>
  </r>
  <r>
    <x v="12"/>
    <x v="1"/>
    <x v="0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x v="1"/>
    <n v="18"/>
    <n v="3"/>
    <n v="1"/>
    <n v="1"/>
    <n v="13"/>
    <n v="5"/>
    <n v="3"/>
    <n v="13"/>
    <n v="7"/>
    <n v="9"/>
    <n v="9"/>
    <n v="0"/>
    <x v="2"/>
    <x v="3"/>
    <x v="3"/>
    <x v="0"/>
    <x v="1"/>
  </r>
  <r>
    <x v="21"/>
    <x v="0"/>
    <x v="0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x v="1"/>
    <n v="11"/>
    <n v="3"/>
    <n v="1"/>
    <n v="1"/>
    <n v="28"/>
    <n v="1"/>
    <n v="4"/>
    <n v="7"/>
    <n v="7"/>
    <n v="4"/>
    <n v="3"/>
    <n v="1"/>
    <x v="1"/>
    <x v="3"/>
    <x v="0"/>
    <x v="0"/>
    <x v="3"/>
  </r>
  <r>
    <x v="22"/>
    <x v="0"/>
    <x v="2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x v="0"/>
    <n v="23"/>
    <n v="4"/>
    <n v="2"/>
    <n v="0"/>
    <n v="11"/>
    <n v="2"/>
    <n v="4"/>
    <n v="1"/>
    <n v="0"/>
    <n v="0"/>
    <n v="0"/>
    <n v="1"/>
    <x v="0"/>
    <x v="0"/>
    <x v="1"/>
    <x v="3"/>
    <x v="3"/>
  </r>
  <r>
    <x v="12"/>
    <x v="0"/>
    <x v="1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x v="1"/>
    <n v="11"/>
    <n v="3"/>
    <n v="1"/>
    <n v="0"/>
    <n v="10"/>
    <n v="2"/>
    <n v="3"/>
    <n v="10"/>
    <n v="8"/>
    <n v="4"/>
    <n v="7"/>
    <n v="1"/>
    <x v="2"/>
    <x v="2"/>
    <x v="0"/>
    <x v="1"/>
    <x v="1"/>
  </r>
  <r>
    <x v="28"/>
    <x v="1"/>
    <x v="0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x v="0"/>
    <n v="18"/>
    <n v="3"/>
    <n v="2"/>
    <n v="1"/>
    <n v="24"/>
    <n v="2"/>
    <n v="3"/>
    <n v="7"/>
    <n v="7"/>
    <n v="0"/>
    <n v="7"/>
    <n v="0"/>
    <x v="0"/>
    <x v="3"/>
    <x v="0"/>
    <x v="3"/>
    <x v="1"/>
  </r>
  <r>
    <x v="12"/>
    <x v="1"/>
    <x v="0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x v="1"/>
    <n v="18"/>
    <n v="3"/>
    <n v="4"/>
    <n v="0"/>
    <n v="8"/>
    <n v="3"/>
    <n v="3"/>
    <n v="3"/>
    <n v="2"/>
    <n v="0"/>
    <n v="2"/>
    <n v="0"/>
    <x v="2"/>
    <x v="1"/>
    <x v="2"/>
    <x v="1"/>
    <x v="1"/>
  </r>
  <r>
    <x v="12"/>
    <x v="0"/>
    <x v="1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x v="0"/>
    <n v="13"/>
    <n v="3"/>
    <n v="3"/>
    <n v="1"/>
    <n v="7"/>
    <n v="2"/>
    <n v="1"/>
    <n v="2"/>
    <n v="2"/>
    <n v="2"/>
    <n v="2"/>
    <n v="1"/>
    <x v="2"/>
    <x v="0"/>
    <x v="2"/>
    <x v="0"/>
    <x v="0"/>
  </r>
  <r>
    <x v="28"/>
    <x v="1"/>
    <x v="0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x v="0"/>
    <n v="18"/>
    <n v="3"/>
    <n v="4"/>
    <n v="2"/>
    <n v="10"/>
    <n v="4"/>
    <n v="4"/>
    <n v="3"/>
    <n v="1"/>
    <n v="1"/>
    <n v="2"/>
    <n v="0"/>
    <x v="0"/>
    <x v="2"/>
    <x v="2"/>
    <x v="0"/>
    <x v="3"/>
  </r>
  <r>
    <x v="26"/>
    <x v="1"/>
    <x v="0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x v="1"/>
    <n v="11"/>
    <n v="3"/>
    <n v="1"/>
    <n v="3"/>
    <n v="15"/>
    <n v="3"/>
    <n v="3"/>
    <n v="2"/>
    <n v="2"/>
    <n v="2"/>
    <n v="2"/>
    <n v="0"/>
    <x v="1"/>
    <x v="0"/>
    <x v="2"/>
    <x v="3"/>
    <x v="1"/>
  </r>
  <r>
    <x v="13"/>
    <x v="0"/>
    <x v="0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x v="1"/>
    <n v="15"/>
    <n v="3"/>
    <n v="4"/>
    <n v="0"/>
    <n v="2"/>
    <n v="0"/>
    <n v="3"/>
    <n v="2"/>
    <n v="2"/>
    <n v="2"/>
    <n v="2"/>
    <n v="1"/>
    <x v="2"/>
    <x v="1"/>
    <x v="2"/>
    <x v="2"/>
    <x v="1"/>
  </r>
  <r>
    <x v="32"/>
    <x v="1"/>
    <x v="2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x v="1"/>
    <n v="11"/>
    <n v="3"/>
    <n v="3"/>
    <n v="1"/>
    <n v="16"/>
    <n v="5"/>
    <n v="3"/>
    <n v="9"/>
    <n v="8"/>
    <n v="4"/>
    <n v="8"/>
    <n v="0"/>
    <x v="0"/>
    <x v="3"/>
    <x v="0"/>
    <x v="1"/>
    <x v="1"/>
  </r>
  <r>
    <x v="14"/>
    <x v="1"/>
    <x v="0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x v="1"/>
    <n v="18"/>
    <n v="3"/>
    <n v="4"/>
    <n v="0"/>
    <n v="6"/>
    <n v="4"/>
    <n v="3"/>
    <n v="5"/>
    <n v="4"/>
    <n v="1"/>
    <n v="3"/>
    <n v="0"/>
    <x v="2"/>
    <x v="2"/>
    <x v="2"/>
    <x v="3"/>
    <x v="1"/>
  </r>
  <r>
    <x v="20"/>
    <x v="1"/>
    <x v="2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x v="1"/>
    <n v="14"/>
    <n v="3"/>
    <n v="4"/>
    <n v="0"/>
    <n v="7"/>
    <n v="5"/>
    <n v="3"/>
    <n v="5"/>
    <n v="2"/>
    <n v="0"/>
    <n v="3"/>
    <n v="0"/>
    <x v="0"/>
    <x v="0"/>
    <x v="2"/>
    <x v="2"/>
    <x v="1"/>
  </r>
  <r>
    <x v="16"/>
    <x v="1"/>
    <x v="0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x v="1"/>
    <n v="12"/>
    <n v="3"/>
    <n v="2"/>
    <n v="0"/>
    <n v="35"/>
    <n v="2"/>
    <n v="2"/>
    <n v="9"/>
    <n v="8"/>
    <n v="8"/>
    <n v="8"/>
    <n v="0"/>
    <x v="1"/>
    <x v="3"/>
    <x v="0"/>
    <x v="1"/>
    <x v="2"/>
  </r>
  <r>
    <x v="1"/>
    <x v="1"/>
    <x v="0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x v="1"/>
    <n v="14"/>
    <n v="3"/>
    <n v="2"/>
    <n v="1"/>
    <n v="20"/>
    <n v="0"/>
    <n v="2"/>
    <n v="3"/>
    <n v="2"/>
    <n v="1"/>
    <n v="2"/>
    <n v="0"/>
    <x v="1"/>
    <x v="2"/>
    <x v="2"/>
    <x v="2"/>
    <x v="2"/>
  </r>
  <r>
    <x v="32"/>
    <x v="1"/>
    <x v="0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x v="1"/>
    <n v="14"/>
    <n v="3"/>
    <n v="3"/>
    <n v="1"/>
    <n v="8"/>
    <n v="3"/>
    <n v="4"/>
    <n v="3"/>
    <n v="1"/>
    <n v="1"/>
    <n v="2"/>
    <n v="0"/>
    <x v="0"/>
    <x v="1"/>
    <x v="2"/>
    <x v="2"/>
    <x v="3"/>
  </r>
  <r>
    <x v="20"/>
    <x v="1"/>
    <x v="0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x v="1"/>
    <n v="13"/>
    <n v="3"/>
    <n v="3"/>
    <n v="0"/>
    <n v="6"/>
    <n v="3"/>
    <n v="2"/>
    <n v="5"/>
    <n v="2"/>
    <n v="1"/>
    <n v="3"/>
    <n v="0"/>
    <x v="0"/>
    <x v="0"/>
    <x v="2"/>
    <x v="1"/>
    <x v="2"/>
  </r>
  <r>
    <x v="3"/>
    <x v="1"/>
    <x v="1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x v="1"/>
    <n v="14"/>
    <n v="3"/>
    <n v="1"/>
    <n v="2"/>
    <n v="5"/>
    <n v="2"/>
    <n v="3"/>
    <n v="4"/>
    <n v="3"/>
    <n v="0"/>
    <n v="3"/>
    <n v="0"/>
    <x v="2"/>
    <x v="0"/>
    <x v="2"/>
    <x v="3"/>
    <x v="1"/>
  </r>
  <r>
    <x v="13"/>
    <x v="1"/>
    <x v="0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x v="1"/>
    <n v="18"/>
    <n v="3"/>
    <n v="4"/>
    <n v="0"/>
    <n v="15"/>
    <n v="2"/>
    <n v="3"/>
    <n v="13"/>
    <n v="9"/>
    <n v="3"/>
    <n v="12"/>
    <n v="0"/>
    <x v="2"/>
    <x v="0"/>
    <x v="3"/>
    <x v="3"/>
    <x v="1"/>
  </r>
  <r>
    <x v="7"/>
    <x v="1"/>
    <x v="0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x v="1"/>
    <n v="15"/>
    <n v="3"/>
    <n v="3"/>
    <n v="2"/>
    <n v="4"/>
    <n v="2"/>
    <n v="2"/>
    <n v="2"/>
    <n v="1"/>
    <n v="2"/>
    <n v="2"/>
    <n v="0"/>
    <x v="2"/>
    <x v="0"/>
    <x v="2"/>
    <x v="2"/>
    <x v="2"/>
  </r>
  <r>
    <x v="19"/>
    <x v="1"/>
    <x v="1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x v="1"/>
    <n v="13"/>
    <n v="3"/>
    <n v="3"/>
    <n v="0"/>
    <n v="12"/>
    <n v="3"/>
    <n v="3"/>
    <n v="12"/>
    <n v="9"/>
    <n v="5"/>
    <n v="8"/>
    <n v="0"/>
    <x v="0"/>
    <x v="0"/>
    <x v="3"/>
    <x v="0"/>
    <x v="1"/>
  </r>
  <r>
    <x v="20"/>
    <x v="1"/>
    <x v="1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x v="1"/>
    <n v="12"/>
    <n v="3"/>
    <n v="3"/>
    <n v="1"/>
    <n v="11"/>
    <n v="4"/>
    <n v="2"/>
    <n v="1"/>
    <n v="0"/>
    <n v="0"/>
    <n v="0"/>
    <n v="0"/>
    <x v="0"/>
    <x v="0"/>
    <x v="1"/>
    <x v="2"/>
    <x v="2"/>
  </r>
  <r>
    <x v="7"/>
    <x v="1"/>
    <x v="2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x v="1"/>
    <n v="13"/>
    <n v="3"/>
    <n v="2"/>
    <n v="2"/>
    <n v="1"/>
    <n v="2"/>
    <n v="2"/>
    <n v="1"/>
    <n v="0"/>
    <n v="0"/>
    <n v="0"/>
    <n v="0"/>
    <x v="2"/>
    <x v="1"/>
    <x v="1"/>
    <x v="2"/>
    <x v="2"/>
  </r>
  <r>
    <x v="38"/>
    <x v="1"/>
    <x v="0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x v="1"/>
    <n v="24"/>
    <n v="4"/>
    <n v="1"/>
    <n v="1"/>
    <n v="13"/>
    <n v="2"/>
    <n v="2"/>
    <n v="12"/>
    <n v="9"/>
    <n v="2"/>
    <n v="8"/>
    <n v="0"/>
    <x v="3"/>
    <x v="0"/>
    <x v="3"/>
    <x v="2"/>
    <x v="2"/>
  </r>
  <r>
    <x v="1"/>
    <x v="1"/>
    <x v="0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x v="1"/>
    <n v="14"/>
    <n v="3"/>
    <n v="2"/>
    <n v="2"/>
    <n v="29"/>
    <n v="3"/>
    <n v="3"/>
    <n v="8"/>
    <n v="7"/>
    <n v="0"/>
    <n v="7"/>
    <n v="0"/>
    <x v="1"/>
    <x v="3"/>
    <x v="0"/>
    <x v="1"/>
    <x v="1"/>
  </r>
  <r>
    <x v="13"/>
    <x v="1"/>
    <x v="1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x v="1"/>
    <n v="14"/>
    <n v="3"/>
    <n v="4"/>
    <n v="2"/>
    <n v="16"/>
    <n v="3"/>
    <n v="2"/>
    <n v="14"/>
    <n v="8"/>
    <n v="6"/>
    <n v="9"/>
    <n v="0"/>
    <x v="2"/>
    <x v="3"/>
    <x v="3"/>
    <x v="3"/>
    <x v="2"/>
  </r>
  <r>
    <x v="14"/>
    <x v="0"/>
    <x v="1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x v="1"/>
    <n v="15"/>
    <n v="3"/>
    <n v="4"/>
    <n v="1"/>
    <n v="5"/>
    <n v="3"/>
    <n v="4"/>
    <n v="3"/>
    <n v="2"/>
    <n v="1"/>
    <n v="2"/>
    <n v="1"/>
    <x v="2"/>
    <x v="1"/>
    <x v="2"/>
    <x v="2"/>
    <x v="3"/>
  </r>
  <r>
    <x v="11"/>
    <x v="0"/>
    <x v="1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x v="1"/>
    <n v="11"/>
    <n v="3"/>
    <n v="1"/>
    <n v="0"/>
    <n v="7"/>
    <n v="4"/>
    <n v="1"/>
    <n v="5"/>
    <n v="3"/>
    <n v="0"/>
    <n v="0"/>
    <n v="1"/>
    <x v="2"/>
    <x v="0"/>
    <x v="2"/>
    <x v="1"/>
    <x v="0"/>
  </r>
  <r>
    <x v="13"/>
    <x v="0"/>
    <x v="0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x v="0"/>
    <n v="23"/>
    <n v="4"/>
    <n v="3"/>
    <n v="0"/>
    <n v="16"/>
    <n v="2"/>
    <n v="4"/>
    <n v="15"/>
    <n v="9"/>
    <n v="10"/>
    <n v="10"/>
    <n v="1"/>
    <x v="2"/>
    <x v="0"/>
    <x v="3"/>
    <x v="1"/>
    <x v="3"/>
  </r>
  <r>
    <x v="10"/>
    <x v="1"/>
    <x v="0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x v="1"/>
    <n v="13"/>
    <n v="3"/>
    <n v="1"/>
    <n v="1"/>
    <n v="1"/>
    <n v="3"/>
    <n v="3"/>
    <n v="1"/>
    <n v="0"/>
    <n v="0"/>
    <n v="0"/>
    <n v="0"/>
    <x v="2"/>
    <x v="1"/>
    <x v="1"/>
    <x v="2"/>
    <x v="1"/>
  </r>
  <r>
    <x v="17"/>
    <x v="0"/>
    <x v="1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x v="0"/>
    <n v="11"/>
    <n v="3"/>
    <n v="3"/>
    <n v="0"/>
    <n v="4"/>
    <n v="2"/>
    <n v="2"/>
    <n v="0"/>
    <n v="0"/>
    <n v="0"/>
    <n v="0"/>
    <n v="1"/>
    <x v="4"/>
    <x v="0"/>
    <x v="1"/>
    <x v="3"/>
    <x v="2"/>
  </r>
  <r>
    <x v="17"/>
    <x v="1"/>
    <x v="2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x v="1"/>
    <n v="13"/>
    <n v="3"/>
    <n v="3"/>
    <n v="1"/>
    <n v="1"/>
    <n v="2"/>
    <n v="3"/>
    <n v="1"/>
    <n v="0"/>
    <n v="0"/>
    <n v="0"/>
    <n v="0"/>
    <x v="4"/>
    <x v="1"/>
    <x v="1"/>
    <x v="1"/>
    <x v="1"/>
  </r>
  <r>
    <x v="20"/>
    <x v="1"/>
    <x v="1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x v="0"/>
    <n v="18"/>
    <n v="3"/>
    <n v="2"/>
    <n v="0"/>
    <n v="16"/>
    <n v="2"/>
    <n v="2"/>
    <n v="2"/>
    <n v="2"/>
    <n v="2"/>
    <n v="2"/>
    <n v="0"/>
    <x v="0"/>
    <x v="3"/>
    <x v="2"/>
    <x v="2"/>
    <x v="2"/>
  </r>
  <r>
    <x v="11"/>
    <x v="1"/>
    <x v="0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x v="1"/>
    <n v="14"/>
    <n v="3"/>
    <n v="3"/>
    <n v="2"/>
    <n v="10"/>
    <n v="3"/>
    <n v="3"/>
    <n v="10"/>
    <n v="7"/>
    <n v="0"/>
    <n v="4"/>
    <n v="0"/>
    <x v="2"/>
    <x v="2"/>
    <x v="0"/>
    <x v="2"/>
    <x v="1"/>
  </r>
  <r>
    <x v="7"/>
    <x v="1"/>
    <x v="0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x v="1"/>
    <n v="21"/>
    <n v="4"/>
    <n v="1"/>
    <n v="1"/>
    <n v="6"/>
    <n v="3"/>
    <n v="4"/>
    <n v="5"/>
    <n v="3"/>
    <n v="1"/>
    <n v="3"/>
    <n v="0"/>
    <x v="2"/>
    <x v="1"/>
    <x v="2"/>
    <x v="2"/>
    <x v="3"/>
  </r>
  <r>
    <x v="27"/>
    <x v="1"/>
    <x v="0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x v="0"/>
    <n v="16"/>
    <n v="3"/>
    <n v="2"/>
    <n v="0"/>
    <n v="4"/>
    <n v="2"/>
    <n v="3"/>
    <n v="3"/>
    <n v="2"/>
    <n v="1"/>
    <n v="2"/>
    <n v="0"/>
    <x v="1"/>
    <x v="0"/>
    <x v="2"/>
    <x v="2"/>
    <x v="1"/>
  </r>
  <r>
    <x v="3"/>
    <x v="1"/>
    <x v="0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x v="1"/>
    <n v="11"/>
    <n v="3"/>
    <n v="4"/>
    <n v="0"/>
    <n v="8"/>
    <n v="5"/>
    <n v="3"/>
    <n v="5"/>
    <n v="4"/>
    <n v="0"/>
    <n v="2"/>
    <n v="0"/>
    <x v="2"/>
    <x v="0"/>
    <x v="2"/>
    <x v="1"/>
    <x v="1"/>
  </r>
  <r>
    <x v="40"/>
    <x v="1"/>
    <x v="0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x v="0"/>
    <n v="17"/>
    <n v="3"/>
    <n v="3"/>
    <n v="1"/>
    <n v="11"/>
    <n v="4"/>
    <n v="2"/>
    <n v="5"/>
    <n v="4"/>
    <n v="1"/>
    <n v="2"/>
    <n v="0"/>
    <x v="1"/>
    <x v="0"/>
    <x v="2"/>
    <x v="2"/>
    <x v="2"/>
  </r>
  <r>
    <x v="14"/>
    <x v="0"/>
    <x v="1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x v="1"/>
    <n v="11"/>
    <n v="3"/>
    <n v="3"/>
    <n v="0"/>
    <n v="8"/>
    <n v="2"/>
    <n v="2"/>
    <n v="0"/>
    <n v="0"/>
    <n v="0"/>
    <n v="0"/>
    <n v="1"/>
    <x v="2"/>
    <x v="1"/>
    <x v="1"/>
    <x v="3"/>
    <x v="2"/>
  </r>
  <r>
    <x v="14"/>
    <x v="1"/>
    <x v="0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x v="1"/>
    <n v="14"/>
    <n v="3"/>
    <n v="4"/>
    <n v="1"/>
    <n v="1"/>
    <n v="2"/>
    <n v="1"/>
    <n v="1"/>
    <n v="0"/>
    <n v="0"/>
    <n v="0"/>
    <n v="0"/>
    <x v="2"/>
    <x v="1"/>
    <x v="1"/>
    <x v="2"/>
    <x v="0"/>
  </r>
  <r>
    <x v="14"/>
    <x v="1"/>
    <x v="1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x v="1"/>
    <n v="14"/>
    <n v="3"/>
    <n v="4"/>
    <n v="0"/>
    <n v="5"/>
    <n v="5"/>
    <n v="3"/>
    <n v="4"/>
    <n v="2"/>
    <n v="1"/>
    <n v="3"/>
    <n v="0"/>
    <x v="2"/>
    <x v="0"/>
    <x v="2"/>
    <x v="3"/>
    <x v="1"/>
  </r>
  <r>
    <x v="1"/>
    <x v="1"/>
    <x v="0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x v="1"/>
    <n v="25"/>
    <n v="4"/>
    <n v="1"/>
    <n v="1"/>
    <n v="10"/>
    <n v="3"/>
    <n v="3"/>
    <n v="3"/>
    <n v="2"/>
    <n v="1"/>
    <n v="2"/>
    <n v="0"/>
    <x v="1"/>
    <x v="0"/>
    <x v="2"/>
    <x v="3"/>
    <x v="1"/>
  </r>
  <r>
    <x v="11"/>
    <x v="1"/>
    <x v="1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x v="1"/>
    <n v="13"/>
    <n v="3"/>
    <n v="3"/>
    <n v="3"/>
    <n v="4"/>
    <n v="3"/>
    <n v="3"/>
    <n v="3"/>
    <n v="2"/>
    <n v="0"/>
    <n v="2"/>
    <n v="0"/>
    <x v="2"/>
    <x v="0"/>
    <x v="2"/>
    <x v="1"/>
    <x v="1"/>
  </r>
  <r>
    <x v="14"/>
    <x v="1"/>
    <x v="0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x v="1"/>
    <n v="14"/>
    <n v="3"/>
    <n v="2"/>
    <n v="2"/>
    <n v="8"/>
    <n v="2"/>
    <n v="2"/>
    <n v="8"/>
    <n v="6"/>
    <n v="1"/>
    <n v="7"/>
    <n v="0"/>
    <x v="2"/>
    <x v="2"/>
    <x v="0"/>
    <x v="1"/>
    <x v="2"/>
  </r>
  <r>
    <x v="3"/>
    <x v="1"/>
    <x v="0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x v="0"/>
    <n v="17"/>
    <n v="3"/>
    <n v="1"/>
    <n v="0"/>
    <n v="14"/>
    <n v="6"/>
    <n v="3"/>
    <n v="0"/>
    <n v="0"/>
    <n v="0"/>
    <n v="0"/>
    <n v="0"/>
    <x v="2"/>
    <x v="2"/>
    <x v="1"/>
    <x v="2"/>
    <x v="1"/>
  </r>
  <r>
    <x v="5"/>
    <x v="1"/>
    <x v="0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x v="1"/>
    <n v="25"/>
    <n v="4"/>
    <n v="2"/>
    <n v="0"/>
    <n v="10"/>
    <n v="5"/>
    <n v="4"/>
    <n v="5"/>
    <n v="2"/>
    <n v="0"/>
    <n v="0"/>
    <n v="0"/>
    <x v="2"/>
    <x v="3"/>
    <x v="2"/>
    <x v="0"/>
    <x v="3"/>
  </r>
  <r>
    <x v="33"/>
    <x v="1"/>
    <x v="1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  <n v="0"/>
    <x v="1"/>
    <x v="3"/>
    <x v="3"/>
    <x v="0"/>
    <x v="1"/>
  </r>
  <r>
    <x v="11"/>
    <x v="0"/>
    <x v="0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x v="1"/>
    <n v="13"/>
    <n v="3"/>
    <n v="3"/>
    <n v="0"/>
    <n v="11"/>
    <n v="2"/>
    <n v="1"/>
    <n v="9"/>
    <n v="7"/>
    <n v="0"/>
    <n v="7"/>
    <n v="1"/>
    <x v="2"/>
    <x v="1"/>
    <x v="0"/>
    <x v="3"/>
    <x v="0"/>
  </r>
  <r>
    <x v="20"/>
    <x v="1"/>
    <x v="0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  <n v="0"/>
    <x v="0"/>
    <x v="3"/>
    <x v="3"/>
    <x v="3"/>
    <x v="3"/>
  </r>
  <r>
    <x v="22"/>
    <x v="1"/>
    <x v="0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x v="1"/>
    <n v="18"/>
    <n v="3"/>
    <n v="4"/>
    <n v="0"/>
    <n v="9"/>
    <n v="3"/>
    <n v="3"/>
    <n v="2"/>
    <n v="0"/>
    <n v="2"/>
    <n v="2"/>
    <n v="0"/>
    <x v="0"/>
    <x v="2"/>
    <x v="2"/>
    <x v="1"/>
    <x v="1"/>
  </r>
  <r>
    <x v="21"/>
    <x v="1"/>
    <x v="0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x v="1"/>
    <n v="12"/>
    <n v="3"/>
    <n v="4"/>
    <n v="1"/>
    <n v="23"/>
    <n v="2"/>
    <n v="4"/>
    <n v="13"/>
    <n v="12"/>
    <n v="5"/>
    <n v="1"/>
    <n v="0"/>
    <x v="1"/>
    <x v="3"/>
    <x v="3"/>
    <x v="1"/>
    <x v="3"/>
  </r>
  <r>
    <x v="10"/>
    <x v="1"/>
    <x v="0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x v="1"/>
    <n v="19"/>
    <n v="3"/>
    <n v="4"/>
    <n v="0"/>
    <n v="11"/>
    <n v="3"/>
    <n v="1"/>
    <n v="11"/>
    <n v="8"/>
    <n v="3"/>
    <n v="3"/>
    <n v="0"/>
    <x v="2"/>
    <x v="2"/>
    <x v="3"/>
    <x v="1"/>
    <x v="0"/>
  </r>
  <r>
    <x v="30"/>
    <x v="1"/>
    <x v="0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x v="1"/>
    <n v="14"/>
    <n v="3"/>
    <n v="2"/>
    <n v="0"/>
    <n v="5"/>
    <n v="2"/>
    <n v="3"/>
    <n v="4"/>
    <n v="3"/>
    <n v="1"/>
    <n v="2"/>
    <n v="0"/>
    <x v="4"/>
    <x v="1"/>
    <x v="2"/>
    <x v="2"/>
    <x v="1"/>
  </r>
  <r>
    <x v="32"/>
    <x v="0"/>
    <x v="0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x v="1"/>
    <n v="14"/>
    <n v="3"/>
    <n v="2"/>
    <n v="0"/>
    <n v="15"/>
    <n v="3"/>
    <n v="1"/>
    <n v="5"/>
    <n v="4"/>
    <n v="1"/>
    <n v="0"/>
    <n v="1"/>
    <x v="0"/>
    <x v="1"/>
    <x v="2"/>
    <x v="3"/>
    <x v="0"/>
  </r>
  <r>
    <x v="13"/>
    <x v="1"/>
    <x v="0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x v="0"/>
    <n v="14"/>
    <n v="3"/>
    <n v="4"/>
    <n v="0"/>
    <n v="10"/>
    <n v="3"/>
    <n v="3"/>
    <n v="10"/>
    <n v="9"/>
    <n v="8"/>
    <n v="6"/>
    <n v="0"/>
    <x v="2"/>
    <x v="2"/>
    <x v="0"/>
    <x v="2"/>
    <x v="1"/>
  </r>
  <r>
    <x v="12"/>
    <x v="0"/>
    <x v="1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x v="1"/>
    <n v="12"/>
    <n v="3"/>
    <n v="1"/>
    <n v="0"/>
    <n v="7"/>
    <n v="2"/>
    <n v="1"/>
    <n v="7"/>
    <n v="2"/>
    <n v="7"/>
    <n v="7"/>
    <n v="1"/>
    <x v="2"/>
    <x v="0"/>
    <x v="0"/>
    <x v="2"/>
    <x v="0"/>
  </r>
  <r>
    <x v="24"/>
    <x v="1"/>
    <x v="1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x v="0"/>
    <n v="13"/>
    <n v="3"/>
    <n v="4"/>
    <n v="0"/>
    <n v="32"/>
    <n v="2"/>
    <n v="3"/>
    <n v="32"/>
    <n v="6"/>
    <n v="13"/>
    <n v="9"/>
    <n v="0"/>
    <x v="1"/>
    <x v="3"/>
    <x v="3"/>
    <x v="0"/>
    <x v="1"/>
  </r>
  <r>
    <x v="13"/>
    <x v="1"/>
    <x v="0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x v="0"/>
    <n v="25"/>
    <n v="4"/>
    <n v="2"/>
    <n v="1"/>
    <n v="12"/>
    <n v="4"/>
    <n v="3"/>
    <n v="11"/>
    <n v="10"/>
    <n v="5"/>
    <n v="7"/>
    <n v="0"/>
    <x v="2"/>
    <x v="1"/>
    <x v="3"/>
    <x v="2"/>
    <x v="1"/>
  </r>
  <r>
    <x v="19"/>
    <x v="1"/>
    <x v="0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x v="1"/>
    <n v="14"/>
    <n v="3"/>
    <n v="2"/>
    <n v="1"/>
    <n v="4"/>
    <n v="3"/>
    <n v="3"/>
    <n v="1"/>
    <n v="0"/>
    <n v="0"/>
    <n v="0"/>
    <n v="0"/>
    <x v="0"/>
    <x v="0"/>
    <x v="1"/>
    <x v="1"/>
    <x v="1"/>
  </r>
  <r>
    <x v="2"/>
    <x v="1"/>
    <x v="0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x v="1"/>
    <n v="17"/>
    <n v="3"/>
    <n v="1"/>
    <n v="0"/>
    <n v="10"/>
    <n v="2"/>
    <n v="3"/>
    <n v="10"/>
    <n v="8"/>
    <n v="3"/>
    <n v="7"/>
    <n v="0"/>
    <x v="0"/>
    <x v="0"/>
    <x v="0"/>
    <x v="0"/>
    <x v="1"/>
  </r>
  <r>
    <x v="11"/>
    <x v="1"/>
    <x v="0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x v="1"/>
    <n v="13"/>
    <n v="3"/>
    <n v="3"/>
    <n v="1"/>
    <n v="9"/>
    <n v="3"/>
    <n v="3"/>
    <n v="7"/>
    <n v="7"/>
    <n v="0"/>
    <n v="7"/>
    <n v="0"/>
    <x v="2"/>
    <x v="2"/>
    <x v="0"/>
    <x v="3"/>
    <x v="1"/>
  </r>
  <r>
    <x v="3"/>
    <x v="1"/>
    <x v="0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x v="1"/>
    <n v="13"/>
    <n v="3"/>
    <n v="4"/>
    <n v="0"/>
    <n v="5"/>
    <n v="2"/>
    <n v="3"/>
    <n v="5"/>
    <n v="3"/>
    <n v="0"/>
    <n v="2"/>
    <n v="0"/>
    <x v="2"/>
    <x v="0"/>
    <x v="2"/>
    <x v="1"/>
    <x v="1"/>
  </r>
  <r>
    <x v="28"/>
    <x v="1"/>
    <x v="0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x v="1"/>
    <n v="20"/>
    <n v="4"/>
    <n v="4"/>
    <n v="1"/>
    <n v="8"/>
    <n v="3"/>
    <n v="3"/>
    <n v="5"/>
    <n v="4"/>
    <n v="0"/>
    <n v="3"/>
    <n v="0"/>
    <x v="0"/>
    <x v="1"/>
    <x v="2"/>
    <x v="0"/>
    <x v="1"/>
  </r>
  <r>
    <x v="19"/>
    <x v="1"/>
    <x v="1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x v="0"/>
    <n v="14"/>
    <n v="3"/>
    <n v="3"/>
    <n v="1"/>
    <n v="24"/>
    <n v="3"/>
    <n v="1"/>
    <n v="20"/>
    <n v="8"/>
    <n v="13"/>
    <n v="9"/>
    <n v="0"/>
    <x v="0"/>
    <x v="3"/>
    <x v="3"/>
    <x v="0"/>
    <x v="0"/>
  </r>
  <r>
    <x v="32"/>
    <x v="1"/>
    <x v="0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x v="1"/>
    <n v="12"/>
    <n v="3"/>
    <n v="4"/>
    <n v="0"/>
    <n v="9"/>
    <n v="5"/>
    <n v="4"/>
    <n v="8"/>
    <n v="4"/>
    <n v="7"/>
    <n v="1"/>
    <n v="0"/>
    <x v="0"/>
    <x v="0"/>
    <x v="0"/>
    <x v="3"/>
    <x v="3"/>
  </r>
  <r>
    <x v="3"/>
    <x v="1"/>
    <x v="0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x v="0"/>
    <n v="12"/>
    <n v="3"/>
    <n v="2"/>
    <n v="1"/>
    <n v="15"/>
    <n v="3"/>
    <n v="3"/>
    <n v="15"/>
    <n v="14"/>
    <n v="5"/>
    <n v="7"/>
    <n v="0"/>
    <x v="2"/>
    <x v="0"/>
    <x v="3"/>
    <x v="2"/>
    <x v="1"/>
  </r>
  <r>
    <x v="32"/>
    <x v="1"/>
    <x v="0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x v="0"/>
    <n v="21"/>
    <n v="4"/>
    <n v="4"/>
    <n v="0"/>
    <n v="21"/>
    <n v="2"/>
    <n v="3"/>
    <n v="21"/>
    <n v="7"/>
    <n v="7"/>
    <n v="7"/>
    <n v="0"/>
    <x v="0"/>
    <x v="3"/>
    <x v="3"/>
    <x v="0"/>
    <x v="1"/>
  </r>
  <r>
    <x v="17"/>
    <x v="1"/>
    <x v="0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x v="1"/>
    <n v="14"/>
    <n v="3"/>
    <n v="2"/>
    <n v="3"/>
    <n v="2"/>
    <n v="3"/>
    <n v="3"/>
    <n v="1"/>
    <n v="1"/>
    <n v="0"/>
    <n v="0"/>
    <n v="0"/>
    <x v="4"/>
    <x v="1"/>
    <x v="1"/>
    <x v="3"/>
    <x v="1"/>
  </r>
  <r>
    <x v="32"/>
    <x v="1"/>
    <x v="2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x v="0"/>
    <n v="18"/>
    <n v="3"/>
    <n v="3"/>
    <n v="0"/>
    <n v="8"/>
    <n v="2"/>
    <n v="3"/>
    <n v="2"/>
    <n v="2"/>
    <n v="2"/>
    <n v="2"/>
    <n v="0"/>
    <x v="0"/>
    <x v="0"/>
    <x v="2"/>
    <x v="0"/>
    <x v="1"/>
  </r>
  <r>
    <x v="28"/>
    <x v="1"/>
    <x v="0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x v="1"/>
    <n v="12"/>
    <n v="3"/>
    <n v="1"/>
    <n v="3"/>
    <n v="10"/>
    <n v="4"/>
    <n v="3"/>
    <n v="10"/>
    <n v="8"/>
    <n v="7"/>
    <n v="7"/>
    <n v="0"/>
    <x v="0"/>
    <x v="2"/>
    <x v="0"/>
    <x v="1"/>
    <x v="1"/>
  </r>
  <r>
    <x v="10"/>
    <x v="1"/>
    <x v="0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x v="1"/>
    <n v="23"/>
    <n v="4"/>
    <n v="1"/>
    <n v="2"/>
    <n v="6"/>
    <n v="5"/>
    <n v="3"/>
    <n v="5"/>
    <n v="3"/>
    <n v="4"/>
    <n v="2"/>
    <n v="0"/>
    <x v="2"/>
    <x v="1"/>
    <x v="2"/>
    <x v="2"/>
    <x v="1"/>
  </r>
  <r>
    <x v="5"/>
    <x v="1"/>
    <x v="0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x v="1"/>
    <n v="12"/>
    <n v="3"/>
    <n v="1"/>
    <n v="1"/>
    <n v="12"/>
    <n v="2"/>
    <n v="3"/>
    <n v="7"/>
    <n v="1"/>
    <n v="2"/>
    <n v="5"/>
    <n v="0"/>
    <x v="2"/>
    <x v="0"/>
    <x v="0"/>
    <x v="1"/>
    <x v="1"/>
  </r>
  <r>
    <x v="9"/>
    <x v="1"/>
    <x v="0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x v="0"/>
    <n v="21"/>
    <n v="4"/>
    <n v="4"/>
    <n v="0"/>
    <n v="7"/>
    <n v="3"/>
    <n v="2"/>
    <n v="3"/>
    <n v="2"/>
    <n v="1"/>
    <n v="2"/>
    <n v="0"/>
    <x v="0"/>
    <x v="1"/>
    <x v="2"/>
    <x v="0"/>
    <x v="2"/>
  </r>
  <r>
    <x v="26"/>
    <x v="1"/>
    <x v="0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x v="1"/>
    <n v="14"/>
    <n v="3"/>
    <n v="3"/>
    <n v="1"/>
    <n v="18"/>
    <n v="2"/>
    <n v="3"/>
    <n v="8"/>
    <n v="7"/>
    <n v="7"/>
    <n v="7"/>
    <n v="0"/>
    <x v="1"/>
    <x v="2"/>
    <x v="0"/>
    <x v="2"/>
    <x v="1"/>
  </r>
  <r>
    <x v="11"/>
    <x v="1"/>
    <x v="0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x v="1"/>
    <n v="18"/>
    <n v="3"/>
    <n v="1"/>
    <n v="2"/>
    <n v="5"/>
    <n v="2"/>
    <n v="2"/>
    <n v="1"/>
    <n v="0"/>
    <n v="0"/>
    <n v="0"/>
    <n v="0"/>
    <x v="2"/>
    <x v="1"/>
    <x v="1"/>
    <x v="2"/>
    <x v="2"/>
  </r>
  <r>
    <x v="3"/>
    <x v="1"/>
    <x v="0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x v="1"/>
    <n v="13"/>
    <n v="3"/>
    <n v="4"/>
    <n v="1"/>
    <n v="8"/>
    <n v="6"/>
    <n v="1"/>
    <n v="2"/>
    <n v="2"/>
    <n v="2"/>
    <n v="2"/>
    <n v="0"/>
    <x v="2"/>
    <x v="2"/>
    <x v="2"/>
    <x v="3"/>
    <x v="0"/>
  </r>
  <r>
    <x v="7"/>
    <x v="0"/>
    <x v="0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x v="1"/>
    <n v="11"/>
    <n v="3"/>
    <n v="4"/>
    <n v="1"/>
    <n v="10"/>
    <n v="4"/>
    <n v="3"/>
    <n v="10"/>
    <n v="8"/>
    <n v="6"/>
    <n v="7"/>
    <n v="1"/>
    <x v="2"/>
    <x v="2"/>
    <x v="0"/>
    <x v="3"/>
    <x v="1"/>
  </r>
  <r>
    <x v="8"/>
    <x v="1"/>
    <x v="1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x v="1"/>
    <n v="11"/>
    <n v="3"/>
    <n v="3"/>
    <n v="0"/>
    <n v="10"/>
    <n v="2"/>
    <n v="3"/>
    <n v="6"/>
    <n v="3"/>
    <n v="1"/>
    <n v="2"/>
    <n v="0"/>
    <x v="0"/>
    <x v="2"/>
    <x v="0"/>
    <x v="2"/>
    <x v="1"/>
  </r>
  <r>
    <x v="10"/>
    <x v="1"/>
    <x v="0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x v="1"/>
    <n v="19"/>
    <n v="3"/>
    <n v="2"/>
    <n v="0"/>
    <n v="3"/>
    <n v="3"/>
    <n v="3"/>
    <n v="3"/>
    <n v="0"/>
    <n v="1"/>
    <n v="2"/>
    <n v="0"/>
    <x v="2"/>
    <x v="1"/>
    <x v="2"/>
    <x v="3"/>
    <x v="1"/>
  </r>
  <r>
    <x v="7"/>
    <x v="1"/>
    <x v="0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x v="1"/>
    <n v="12"/>
    <n v="3"/>
    <n v="2"/>
    <n v="1"/>
    <n v="9"/>
    <n v="3"/>
    <n v="3"/>
    <n v="4"/>
    <n v="2"/>
    <n v="1"/>
    <n v="3"/>
    <n v="0"/>
    <x v="2"/>
    <x v="2"/>
    <x v="2"/>
    <x v="1"/>
    <x v="1"/>
  </r>
  <r>
    <x v="10"/>
    <x v="0"/>
    <x v="0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x v="0"/>
    <n v="12"/>
    <n v="3"/>
    <n v="4"/>
    <n v="1"/>
    <n v="1"/>
    <n v="2"/>
    <n v="3"/>
    <n v="1"/>
    <n v="0"/>
    <n v="0"/>
    <n v="0"/>
    <n v="1"/>
    <x v="2"/>
    <x v="1"/>
    <x v="1"/>
    <x v="3"/>
    <x v="1"/>
  </r>
  <r>
    <x v="16"/>
    <x v="0"/>
    <x v="0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x v="1"/>
    <n v="16"/>
    <n v="3"/>
    <n v="2"/>
    <n v="1"/>
    <n v="34"/>
    <n v="4"/>
    <n v="3"/>
    <n v="33"/>
    <n v="7"/>
    <n v="1"/>
    <n v="9"/>
    <n v="1"/>
    <x v="1"/>
    <x v="3"/>
    <x v="3"/>
    <x v="0"/>
    <x v="1"/>
  </r>
  <r>
    <x v="8"/>
    <x v="0"/>
    <x v="0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x v="1"/>
    <n v="11"/>
    <n v="3"/>
    <n v="1"/>
    <n v="2"/>
    <n v="7"/>
    <n v="2"/>
    <n v="3"/>
    <n v="5"/>
    <n v="2"/>
    <n v="1"/>
    <n v="4"/>
    <n v="1"/>
    <x v="0"/>
    <x v="0"/>
    <x v="2"/>
    <x v="1"/>
    <x v="1"/>
  </r>
  <r>
    <x v="5"/>
    <x v="1"/>
    <x v="2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x v="1"/>
    <n v="14"/>
    <n v="3"/>
    <n v="2"/>
    <n v="1"/>
    <n v="9"/>
    <n v="3"/>
    <n v="2"/>
    <n v="6"/>
    <n v="5"/>
    <n v="1"/>
    <n v="2"/>
    <n v="0"/>
    <x v="2"/>
    <x v="0"/>
    <x v="0"/>
    <x v="3"/>
    <x v="2"/>
  </r>
  <r>
    <x v="26"/>
    <x v="1"/>
    <x v="0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x v="1"/>
    <n v="12"/>
    <n v="3"/>
    <n v="4"/>
    <n v="1"/>
    <n v="10"/>
    <n v="3"/>
    <n v="2"/>
    <n v="8"/>
    <n v="2"/>
    <n v="7"/>
    <n v="6"/>
    <n v="0"/>
    <x v="1"/>
    <x v="1"/>
    <x v="0"/>
    <x v="3"/>
    <x v="2"/>
  </r>
  <r>
    <x v="13"/>
    <x v="1"/>
    <x v="0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x v="1"/>
    <n v="13"/>
    <n v="3"/>
    <n v="3"/>
    <n v="0"/>
    <n v="1"/>
    <n v="4"/>
    <n v="1"/>
    <n v="1"/>
    <n v="0"/>
    <n v="0"/>
    <n v="0"/>
    <n v="0"/>
    <x v="2"/>
    <x v="1"/>
    <x v="1"/>
    <x v="0"/>
    <x v="0"/>
  </r>
  <r>
    <x v="27"/>
    <x v="1"/>
    <x v="0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x v="1"/>
    <n v="21"/>
    <n v="4"/>
    <n v="3"/>
    <n v="1"/>
    <n v="36"/>
    <n v="3"/>
    <n v="3"/>
    <n v="36"/>
    <n v="6"/>
    <n v="2"/>
    <n v="13"/>
    <n v="0"/>
    <x v="1"/>
    <x v="3"/>
    <x v="3"/>
    <x v="0"/>
    <x v="1"/>
  </r>
  <r>
    <x v="13"/>
    <x v="1"/>
    <x v="0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x v="1"/>
    <n v="17"/>
    <n v="3"/>
    <n v="2"/>
    <n v="1"/>
    <n v="9"/>
    <n v="3"/>
    <n v="2"/>
    <n v="2"/>
    <n v="2"/>
    <n v="2"/>
    <n v="1"/>
    <n v="0"/>
    <x v="2"/>
    <x v="0"/>
    <x v="2"/>
    <x v="0"/>
    <x v="2"/>
  </r>
  <r>
    <x v="25"/>
    <x v="1"/>
    <x v="0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x v="1"/>
    <n v="21"/>
    <n v="4"/>
    <n v="1"/>
    <n v="0"/>
    <n v="1"/>
    <n v="5"/>
    <n v="3"/>
    <n v="1"/>
    <n v="0"/>
    <n v="0"/>
    <n v="0"/>
    <n v="0"/>
    <x v="2"/>
    <x v="1"/>
    <x v="1"/>
    <x v="0"/>
    <x v="1"/>
  </r>
  <r>
    <x v="8"/>
    <x v="1"/>
    <x v="0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x v="1"/>
    <n v="11"/>
    <n v="3"/>
    <n v="4"/>
    <n v="1"/>
    <n v="10"/>
    <n v="3"/>
    <n v="3"/>
    <n v="9"/>
    <n v="8"/>
    <n v="7"/>
    <n v="7"/>
    <n v="0"/>
    <x v="0"/>
    <x v="2"/>
    <x v="0"/>
    <x v="1"/>
    <x v="1"/>
  </r>
  <r>
    <x v="8"/>
    <x v="1"/>
    <x v="0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x v="1"/>
    <n v="12"/>
    <n v="3"/>
    <n v="2"/>
    <n v="0"/>
    <n v="8"/>
    <n v="5"/>
    <n v="4"/>
    <n v="3"/>
    <n v="2"/>
    <n v="1"/>
    <n v="2"/>
    <n v="0"/>
    <x v="0"/>
    <x v="0"/>
    <x v="2"/>
    <x v="1"/>
    <x v="3"/>
  </r>
  <r>
    <x v="9"/>
    <x v="1"/>
    <x v="0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x v="1"/>
    <n v="13"/>
    <n v="3"/>
    <n v="1"/>
    <n v="0"/>
    <n v="15"/>
    <n v="5"/>
    <n v="3"/>
    <n v="1"/>
    <n v="0"/>
    <n v="0"/>
    <n v="0"/>
    <n v="0"/>
    <x v="0"/>
    <x v="2"/>
    <x v="1"/>
    <x v="2"/>
    <x v="1"/>
  </r>
  <r>
    <x v="11"/>
    <x v="1"/>
    <x v="0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x v="0"/>
    <n v="18"/>
    <n v="3"/>
    <n v="4"/>
    <n v="0"/>
    <n v="10"/>
    <n v="3"/>
    <n v="3"/>
    <n v="10"/>
    <n v="9"/>
    <n v="1"/>
    <n v="5"/>
    <n v="0"/>
    <x v="2"/>
    <x v="0"/>
    <x v="0"/>
    <x v="3"/>
    <x v="1"/>
  </r>
  <r>
    <x v="10"/>
    <x v="1"/>
    <x v="0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x v="0"/>
    <n v="16"/>
    <n v="3"/>
    <n v="3"/>
    <n v="0"/>
    <n v="10"/>
    <n v="4"/>
    <n v="3"/>
    <n v="5"/>
    <n v="2"/>
    <n v="0"/>
    <n v="4"/>
    <n v="0"/>
    <x v="2"/>
    <x v="2"/>
    <x v="2"/>
    <x v="2"/>
    <x v="1"/>
  </r>
  <r>
    <x v="22"/>
    <x v="1"/>
    <x v="0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x v="1"/>
    <n v="11"/>
    <n v="3"/>
    <n v="1"/>
    <n v="1"/>
    <n v="11"/>
    <n v="3"/>
    <n v="3"/>
    <n v="7"/>
    <n v="6"/>
    <n v="7"/>
    <n v="6"/>
    <n v="0"/>
    <x v="0"/>
    <x v="2"/>
    <x v="0"/>
    <x v="2"/>
    <x v="1"/>
  </r>
  <r>
    <x v="11"/>
    <x v="1"/>
    <x v="1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x v="1"/>
    <n v="19"/>
    <n v="3"/>
    <n v="4"/>
    <n v="1"/>
    <n v="6"/>
    <n v="0"/>
    <n v="4"/>
    <n v="6"/>
    <n v="4"/>
    <n v="1"/>
    <n v="3"/>
    <n v="0"/>
    <x v="2"/>
    <x v="2"/>
    <x v="0"/>
    <x v="0"/>
    <x v="3"/>
  </r>
  <r>
    <x v="24"/>
    <x v="1"/>
    <x v="0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x v="0"/>
    <n v="16"/>
    <n v="3"/>
    <n v="3"/>
    <n v="1"/>
    <n v="27"/>
    <n v="2"/>
    <n v="3"/>
    <n v="1"/>
    <n v="0"/>
    <n v="0"/>
    <n v="0"/>
    <n v="0"/>
    <x v="1"/>
    <x v="3"/>
    <x v="1"/>
    <x v="2"/>
    <x v="1"/>
  </r>
  <r>
    <x v="30"/>
    <x v="1"/>
    <x v="0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x v="1"/>
    <n v="16"/>
    <n v="3"/>
    <n v="4"/>
    <n v="1"/>
    <n v="4"/>
    <n v="2"/>
    <n v="3"/>
    <n v="2"/>
    <n v="2"/>
    <n v="2"/>
    <n v="2"/>
    <n v="0"/>
    <x v="4"/>
    <x v="1"/>
    <x v="2"/>
    <x v="2"/>
    <x v="1"/>
  </r>
  <r>
    <x v="9"/>
    <x v="1"/>
    <x v="1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x v="0"/>
    <n v="13"/>
    <n v="3"/>
    <n v="4"/>
    <n v="1"/>
    <n v="9"/>
    <n v="3"/>
    <n v="3"/>
    <n v="3"/>
    <n v="2"/>
    <n v="0"/>
    <n v="2"/>
    <n v="0"/>
    <x v="0"/>
    <x v="0"/>
    <x v="2"/>
    <x v="3"/>
    <x v="1"/>
  </r>
  <r>
    <x v="19"/>
    <x v="1"/>
    <x v="0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x v="1"/>
    <n v="22"/>
    <n v="4"/>
    <n v="4"/>
    <n v="0"/>
    <n v="24"/>
    <n v="2"/>
    <n v="3"/>
    <n v="1"/>
    <n v="0"/>
    <n v="0"/>
    <n v="1"/>
    <n v="0"/>
    <x v="0"/>
    <x v="3"/>
    <x v="1"/>
    <x v="0"/>
    <x v="1"/>
  </r>
  <r>
    <x v="10"/>
    <x v="1"/>
    <x v="0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x v="1"/>
    <n v="17"/>
    <n v="3"/>
    <n v="4"/>
    <n v="2"/>
    <n v="10"/>
    <n v="3"/>
    <n v="2"/>
    <n v="10"/>
    <n v="9"/>
    <n v="6"/>
    <n v="8"/>
    <n v="0"/>
    <x v="2"/>
    <x v="0"/>
    <x v="0"/>
    <x v="2"/>
    <x v="2"/>
  </r>
  <r>
    <x v="13"/>
    <x v="1"/>
    <x v="1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x v="1"/>
    <n v="14"/>
    <n v="3"/>
    <n v="2"/>
    <n v="1"/>
    <n v="8"/>
    <n v="3"/>
    <n v="2"/>
    <n v="8"/>
    <n v="2"/>
    <n v="7"/>
    <n v="7"/>
    <n v="0"/>
    <x v="2"/>
    <x v="0"/>
    <x v="0"/>
    <x v="2"/>
    <x v="2"/>
  </r>
  <r>
    <x v="32"/>
    <x v="1"/>
    <x v="0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x v="1"/>
    <n v="15"/>
    <n v="3"/>
    <n v="3"/>
    <n v="1"/>
    <n v="5"/>
    <n v="2"/>
    <n v="3"/>
    <n v="5"/>
    <n v="4"/>
    <n v="1"/>
    <n v="2"/>
    <n v="0"/>
    <x v="0"/>
    <x v="0"/>
    <x v="2"/>
    <x v="3"/>
    <x v="1"/>
  </r>
  <r>
    <x v="23"/>
    <x v="1"/>
    <x v="0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x v="1"/>
    <n v="12"/>
    <n v="3"/>
    <n v="3"/>
    <n v="1"/>
    <n v="8"/>
    <n v="0"/>
    <n v="3"/>
    <n v="6"/>
    <n v="4"/>
    <n v="0"/>
    <n v="2"/>
    <n v="0"/>
    <x v="0"/>
    <x v="0"/>
    <x v="0"/>
    <x v="1"/>
    <x v="1"/>
  </r>
  <r>
    <x v="10"/>
    <x v="1"/>
    <x v="0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x v="1"/>
    <n v="18"/>
    <n v="3"/>
    <n v="4"/>
    <n v="1"/>
    <n v="1"/>
    <n v="5"/>
    <n v="2"/>
    <n v="1"/>
    <n v="0"/>
    <n v="0"/>
    <n v="1"/>
    <n v="0"/>
    <x v="2"/>
    <x v="1"/>
    <x v="1"/>
    <x v="0"/>
    <x v="2"/>
  </r>
  <r>
    <x v="21"/>
    <x v="1"/>
    <x v="0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x v="1"/>
    <n v="15"/>
    <n v="3"/>
    <n v="2"/>
    <n v="0"/>
    <n v="27"/>
    <n v="5"/>
    <n v="1"/>
    <n v="26"/>
    <n v="0"/>
    <n v="0"/>
    <n v="12"/>
    <n v="0"/>
    <x v="1"/>
    <x v="3"/>
    <x v="3"/>
    <x v="3"/>
    <x v="0"/>
  </r>
  <r>
    <x v="14"/>
    <x v="0"/>
    <x v="0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x v="0"/>
    <n v="17"/>
    <n v="3"/>
    <n v="3"/>
    <n v="3"/>
    <n v="1"/>
    <n v="3"/>
    <n v="3"/>
    <n v="1"/>
    <n v="1"/>
    <n v="0"/>
    <n v="0"/>
    <n v="1"/>
    <x v="2"/>
    <x v="1"/>
    <x v="1"/>
    <x v="1"/>
    <x v="1"/>
  </r>
  <r>
    <x v="15"/>
    <x v="1"/>
    <x v="2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x v="0"/>
    <n v="14"/>
    <n v="3"/>
    <n v="2"/>
    <n v="0"/>
    <n v="4"/>
    <n v="2"/>
    <n v="2"/>
    <n v="4"/>
    <n v="2"/>
    <n v="1"/>
    <n v="3"/>
    <n v="0"/>
    <x v="4"/>
    <x v="1"/>
    <x v="2"/>
    <x v="2"/>
    <x v="2"/>
  </r>
  <r>
    <x v="24"/>
    <x v="1"/>
    <x v="1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  <n v="0"/>
    <x v="1"/>
    <x v="3"/>
    <x v="3"/>
    <x v="2"/>
    <x v="1"/>
  </r>
  <r>
    <x v="5"/>
    <x v="1"/>
    <x v="0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x v="1"/>
    <n v="17"/>
    <n v="3"/>
    <n v="4"/>
    <n v="2"/>
    <n v="6"/>
    <n v="3"/>
    <n v="3"/>
    <n v="3"/>
    <n v="2"/>
    <n v="0"/>
    <n v="2"/>
    <n v="0"/>
    <x v="2"/>
    <x v="0"/>
    <x v="2"/>
    <x v="0"/>
    <x v="1"/>
  </r>
  <r>
    <x v="20"/>
    <x v="1"/>
    <x v="0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x v="0"/>
    <n v="14"/>
    <n v="3"/>
    <n v="4"/>
    <n v="1"/>
    <n v="23"/>
    <n v="4"/>
    <n v="2"/>
    <n v="22"/>
    <n v="7"/>
    <n v="1"/>
    <n v="10"/>
    <n v="0"/>
    <x v="0"/>
    <x v="3"/>
    <x v="3"/>
    <x v="0"/>
    <x v="2"/>
  </r>
  <r>
    <x v="7"/>
    <x v="1"/>
    <x v="0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x v="1"/>
    <n v="12"/>
    <n v="3"/>
    <n v="2"/>
    <n v="1"/>
    <n v="6"/>
    <n v="3"/>
    <n v="2"/>
    <n v="6"/>
    <n v="4"/>
    <n v="1"/>
    <n v="1"/>
    <n v="0"/>
    <x v="2"/>
    <x v="1"/>
    <x v="0"/>
    <x v="1"/>
    <x v="2"/>
  </r>
  <r>
    <x v="28"/>
    <x v="1"/>
    <x v="0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x v="0"/>
    <n v="14"/>
    <n v="3"/>
    <n v="1"/>
    <n v="0"/>
    <n v="10"/>
    <n v="3"/>
    <n v="3"/>
    <n v="10"/>
    <n v="7"/>
    <n v="1"/>
    <n v="4"/>
    <n v="0"/>
    <x v="0"/>
    <x v="0"/>
    <x v="0"/>
    <x v="3"/>
    <x v="1"/>
  </r>
  <r>
    <x v="28"/>
    <x v="1"/>
    <x v="2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x v="1"/>
    <n v="15"/>
    <n v="3"/>
    <n v="1"/>
    <n v="1"/>
    <n v="10"/>
    <n v="2"/>
    <n v="3"/>
    <n v="10"/>
    <n v="7"/>
    <n v="4"/>
    <n v="5"/>
    <n v="0"/>
    <x v="0"/>
    <x v="0"/>
    <x v="0"/>
    <x v="3"/>
    <x v="1"/>
  </r>
  <r>
    <x v="12"/>
    <x v="1"/>
    <x v="1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x v="1"/>
    <n v="13"/>
    <n v="3"/>
    <n v="4"/>
    <n v="0"/>
    <n v="10"/>
    <n v="3"/>
    <n v="3"/>
    <n v="5"/>
    <n v="2"/>
    <n v="0"/>
    <n v="3"/>
    <n v="0"/>
    <x v="2"/>
    <x v="0"/>
    <x v="2"/>
    <x v="3"/>
    <x v="1"/>
  </r>
  <r>
    <x v="9"/>
    <x v="1"/>
    <x v="0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x v="0"/>
    <n v="12"/>
    <n v="3"/>
    <n v="2"/>
    <n v="2"/>
    <n v="7"/>
    <n v="2"/>
    <n v="3"/>
    <n v="3"/>
    <n v="2"/>
    <n v="1"/>
    <n v="1"/>
    <n v="0"/>
    <x v="0"/>
    <x v="0"/>
    <x v="2"/>
    <x v="2"/>
    <x v="1"/>
  </r>
  <r>
    <x v="13"/>
    <x v="1"/>
    <x v="1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x v="1"/>
    <n v="13"/>
    <n v="3"/>
    <n v="1"/>
    <n v="1"/>
    <n v="9"/>
    <n v="3"/>
    <n v="3"/>
    <n v="9"/>
    <n v="7"/>
    <n v="7"/>
    <n v="2"/>
    <n v="0"/>
    <x v="2"/>
    <x v="0"/>
    <x v="0"/>
    <x v="0"/>
    <x v="1"/>
  </r>
  <r>
    <x v="1"/>
    <x v="1"/>
    <x v="0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x v="1"/>
    <n v="14"/>
    <n v="3"/>
    <n v="4"/>
    <n v="1"/>
    <n v="10"/>
    <n v="3"/>
    <n v="2"/>
    <n v="9"/>
    <n v="6"/>
    <n v="1"/>
    <n v="4"/>
    <n v="0"/>
    <x v="1"/>
    <x v="0"/>
    <x v="0"/>
    <x v="3"/>
    <x v="2"/>
  </r>
  <r>
    <x v="22"/>
    <x v="1"/>
    <x v="0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x v="1"/>
    <n v="13"/>
    <n v="3"/>
    <n v="4"/>
    <n v="3"/>
    <n v="10"/>
    <n v="3"/>
    <n v="3"/>
    <n v="7"/>
    <n v="7"/>
    <n v="7"/>
    <n v="7"/>
    <n v="0"/>
    <x v="0"/>
    <x v="0"/>
    <x v="0"/>
    <x v="3"/>
    <x v="1"/>
  </r>
  <r>
    <x v="4"/>
    <x v="1"/>
    <x v="0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x v="1"/>
    <n v="11"/>
    <n v="3"/>
    <n v="1"/>
    <n v="2"/>
    <n v="7"/>
    <n v="3"/>
    <n v="3"/>
    <n v="7"/>
    <n v="7"/>
    <n v="0"/>
    <n v="7"/>
    <n v="0"/>
    <x v="2"/>
    <x v="0"/>
    <x v="0"/>
    <x v="3"/>
    <x v="1"/>
  </r>
  <r>
    <x v="10"/>
    <x v="1"/>
    <x v="0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x v="1"/>
    <n v="11"/>
    <n v="3"/>
    <n v="4"/>
    <n v="0"/>
    <n v="16"/>
    <n v="2"/>
    <n v="3"/>
    <n v="16"/>
    <n v="15"/>
    <n v="1"/>
    <n v="10"/>
    <n v="0"/>
    <x v="2"/>
    <x v="0"/>
    <x v="3"/>
    <x v="3"/>
    <x v="1"/>
  </r>
  <r>
    <x v="14"/>
    <x v="1"/>
    <x v="0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x v="1"/>
    <n v="21"/>
    <n v="4"/>
    <n v="2"/>
    <n v="1"/>
    <n v="6"/>
    <n v="5"/>
    <n v="2"/>
    <n v="5"/>
    <n v="3"/>
    <n v="0"/>
    <n v="0"/>
    <n v="0"/>
    <x v="2"/>
    <x v="0"/>
    <x v="2"/>
    <x v="3"/>
    <x v="2"/>
  </r>
  <r>
    <x v="18"/>
    <x v="1"/>
    <x v="0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x v="1"/>
    <n v="18"/>
    <n v="3"/>
    <n v="3"/>
    <n v="0"/>
    <n v="3"/>
    <n v="2"/>
    <n v="3"/>
    <n v="2"/>
    <n v="2"/>
    <n v="2"/>
    <n v="2"/>
    <n v="0"/>
    <x v="4"/>
    <x v="0"/>
    <x v="2"/>
    <x v="0"/>
    <x v="1"/>
  </r>
  <r>
    <x v="41"/>
    <x v="0"/>
    <x v="1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x v="0"/>
    <n v="12"/>
    <n v="3"/>
    <n v="3"/>
    <n v="0"/>
    <n v="0"/>
    <n v="2"/>
    <n v="4"/>
    <n v="0"/>
    <n v="0"/>
    <n v="0"/>
    <n v="0"/>
    <n v="1"/>
    <x v="4"/>
    <x v="1"/>
    <x v="1"/>
    <x v="0"/>
    <x v="3"/>
  </r>
  <r>
    <x v="40"/>
    <x v="1"/>
    <x v="0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x v="1"/>
    <n v="11"/>
    <n v="3"/>
    <n v="3"/>
    <n v="1"/>
    <n v="27"/>
    <n v="2"/>
    <n v="3"/>
    <n v="5"/>
    <n v="2"/>
    <n v="1"/>
    <n v="0"/>
    <n v="0"/>
    <x v="1"/>
    <x v="3"/>
    <x v="2"/>
    <x v="2"/>
    <x v="1"/>
  </r>
  <r>
    <x v="22"/>
    <x v="1"/>
    <x v="0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x v="1"/>
    <n v="15"/>
    <n v="3"/>
    <n v="4"/>
    <n v="1"/>
    <n v="11"/>
    <n v="3"/>
    <n v="3"/>
    <n v="10"/>
    <n v="8"/>
    <n v="0"/>
    <n v="7"/>
    <n v="0"/>
    <x v="0"/>
    <x v="0"/>
    <x v="0"/>
    <x v="2"/>
    <x v="1"/>
  </r>
  <r>
    <x v="32"/>
    <x v="1"/>
    <x v="0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  <n v="0"/>
    <x v="0"/>
    <x v="3"/>
    <x v="3"/>
    <x v="2"/>
    <x v="1"/>
  </r>
  <r>
    <x v="10"/>
    <x v="1"/>
    <x v="2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x v="1"/>
    <n v="12"/>
    <n v="3"/>
    <n v="4"/>
    <n v="1"/>
    <n v="15"/>
    <n v="5"/>
    <n v="3"/>
    <n v="14"/>
    <n v="11"/>
    <n v="2"/>
    <n v="9"/>
    <n v="0"/>
    <x v="2"/>
    <x v="0"/>
    <x v="3"/>
    <x v="2"/>
    <x v="1"/>
  </r>
  <r>
    <x v="2"/>
    <x v="1"/>
    <x v="0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x v="1"/>
    <n v="17"/>
    <n v="3"/>
    <n v="1"/>
    <n v="3"/>
    <n v="9"/>
    <n v="2"/>
    <n v="2"/>
    <n v="4"/>
    <n v="3"/>
    <n v="0"/>
    <n v="2"/>
    <n v="0"/>
    <x v="0"/>
    <x v="0"/>
    <x v="2"/>
    <x v="2"/>
    <x v="2"/>
  </r>
  <r>
    <x v="22"/>
    <x v="1"/>
    <x v="1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x v="1"/>
    <n v="13"/>
    <n v="3"/>
    <n v="4"/>
    <n v="0"/>
    <n v="10"/>
    <n v="2"/>
    <n v="1"/>
    <n v="9"/>
    <n v="2"/>
    <n v="3"/>
    <n v="8"/>
    <n v="0"/>
    <x v="0"/>
    <x v="0"/>
    <x v="0"/>
    <x v="2"/>
    <x v="0"/>
  </r>
  <r>
    <x v="28"/>
    <x v="1"/>
    <x v="0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x v="1"/>
    <n v="19"/>
    <n v="3"/>
    <n v="1"/>
    <n v="2"/>
    <n v="10"/>
    <n v="3"/>
    <n v="3"/>
    <n v="10"/>
    <n v="7"/>
    <n v="3"/>
    <n v="9"/>
    <n v="0"/>
    <x v="0"/>
    <x v="0"/>
    <x v="0"/>
    <x v="0"/>
    <x v="1"/>
  </r>
  <r>
    <x v="8"/>
    <x v="1"/>
    <x v="0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x v="0"/>
    <n v="19"/>
    <n v="3"/>
    <n v="4"/>
    <n v="1"/>
    <n v="10"/>
    <n v="6"/>
    <n v="4"/>
    <n v="5"/>
    <n v="4"/>
    <n v="0"/>
    <n v="2"/>
    <n v="0"/>
    <x v="0"/>
    <x v="2"/>
    <x v="2"/>
    <x v="2"/>
    <x v="3"/>
  </r>
  <r>
    <x v="10"/>
    <x v="0"/>
    <x v="0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x v="1"/>
    <n v="17"/>
    <n v="3"/>
    <n v="3"/>
    <n v="0"/>
    <n v="15"/>
    <n v="3"/>
    <n v="3"/>
    <n v="13"/>
    <n v="12"/>
    <n v="6"/>
    <n v="0"/>
    <n v="1"/>
    <x v="2"/>
    <x v="3"/>
    <x v="3"/>
    <x v="3"/>
    <x v="1"/>
  </r>
  <r>
    <x v="2"/>
    <x v="1"/>
    <x v="0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x v="1"/>
    <n v="11"/>
    <n v="3"/>
    <n v="1"/>
    <n v="1"/>
    <n v="8"/>
    <n v="2"/>
    <n v="1"/>
    <n v="8"/>
    <n v="4"/>
    <n v="7"/>
    <n v="7"/>
    <n v="0"/>
    <x v="0"/>
    <x v="0"/>
    <x v="0"/>
    <x v="1"/>
    <x v="0"/>
  </r>
  <r>
    <x v="32"/>
    <x v="1"/>
    <x v="0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x v="0"/>
    <n v="15"/>
    <n v="3"/>
    <n v="4"/>
    <n v="0"/>
    <n v="18"/>
    <n v="2"/>
    <n v="2"/>
    <n v="4"/>
    <n v="2"/>
    <n v="3"/>
    <n v="3"/>
    <n v="0"/>
    <x v="0"/>
    <x v="2"/>
    <x v="2"/>
    <x v="0"/>
    <x v="2"/>
  </r>
  <r>
    <x v="20"/>
    <x v="1"/>
    <x v="1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x v="0"/>
    <n v="11"/>
    <n v="3"/>
    <n v="3"/>
    <n v="0"/>
    <n v="14"/>
    <n v="3"/>
    <n v="3"/>
    <n v="10"/>
    <n v="7"/>
    <n v="0"/>
    <n v="2"/>
    <n v="0"/>
    <x v="0"/>
    <x v="0"/>
    <x v="0"/>
    <x v="0"/>
    <x v="1"/>
  </r>
  <r>
    <x v="26"/>
    <x v="1"/>
    <x v="1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x v="1"/>
    <n v="25"/>
    <n v="4"/>
    <n v="2"/>
    <n v="1"/>
    <n v="23"/>
    <n v="3"/>
    <n v="3"/>
    <n v="2"/>
    <n v="2"/>
    <n v="2"/>
    <n v="2"/>
    <n v="0"/>
    <x v="1"/>
    <x v="3"/>
    <x v="2"/>
    <x v="0"/>
    <x v="1"/>
  </r>
  <r>
    <x v="10"/>
    <x v="0"/>
    <x v="0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x v="0"/>
    <n v="14"/>
    <n v="3"/>
    <n v="4"/>
    <n v="2"/>
    <n v="7"/>
    <n v="2"/>
    <n v="2"/>
    <n v="2"/>
    <n v="2"/>
    <n v="2"/>
    <n v="2"/>
    <n v="1"/>
    <x v="2"/>
    <x v="0"/>
    <x v="2"/>
    <x v="0"/>
    <x v="2"/>
  </r>
  <r>
    <x v="17"/>
    <x v="1"/>
    <x v="1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x v="0"/>
    <n v="13"/>
    <n v="3"/>
    <n v="3"/>
    <n v="0"/>
    <n v="6"/>
    <n v="2"/>
    <n v="3"/>
    <n v="6"/>
    <n v="3"/>
    <n v="1"/>
    <n v="3"/>
    <n v="0"/>
    <x v="4"/>
    <x v="0"/>
    <x v="0"/>
    <x v="0"/>
    <x v="1"/>
  </r>
  <r>
    <x v="4"/>
    <x v="1"/>
    <x v="0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x v="1"/>
    <n v="17"/>
    <n v="3"/>
    <n v="1"/>
    <n v="0"/>
    <n v="5"/>
    <n v="0"/>
    <n v="3"/>
    <n v="3"/>
    <n v="2"/>
    <n v="0"/>
    <n v="2"/>
    <n v="0"/>
    <x v="2"/>
    <x v="0"/>
    <x v="2"/>
    <x v="2"/>
    <x v="1"/>
  </r>
  <r>
    <x v="4"/>
    <x v="1"/>
    <x v="1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x v="1"/>
    <n v="13"/>
    <n v="3"/>
    <n v="3"/>
    <n v="0"/>
    <n v="6"/>
    <n v="0"/>
    <n v="2"/>
    <n v="4"/>
    <n v="2"/>
    <n v="1"/>
    <n v="2"/>
    <n v="0"/>
    <x v="2"/>
    <x v="1"/>
    <x v="2"/>
    <x v="0"/>
    <x v="2"/>
  </r>
  <r>
    <x v="32"/>
    <x v="0"/>
    <x v="0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x v="0"/>
    <n v="14"/>
    <n v="3"/>
    <n v="2"/>
    <n v="0"/>
    <n v="10"/>
    <n v="3"/>
    <n v="1"/>
    <n v="4"/>
    <n v="2"/>
    <n v="0"/>
    <n v="3"/>
    <n v="1"/>
    <x v="0"/>
    <x v="1"/>
    <x v="2"/>
    <x v="3"/>
    <x v="0"/>
  </r>
  <r>
    <x v="11"/>
    <x v="1"/>
    <x v="0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x v="1"/>
    <n v="11"/>
    <n v="3"/>
    <n v="3"/>
    <n v="0"/>
    <n v="8"/>
    <n v="2"/>
    <n v="3"/>
    <n v="5"/>
    <n v="2"/>
    <n v="1"/>
    <n v="4"/>
    <n v="0"/>
    <x v="2"/>
    <x v="0"/>
    <x v="2"/>
    <x v="2"/>
    <x v="1"/>
  </r>
  <r>
    <x v="9"/>
    <x v="1"/>
    <x v="0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x v="1"/>
    <n v="12"/>
    <n v="3"/>
    <n v="3"/>
    <n v="2"/>
    <n v="9"/>
    <n v="6"/>
    <n v="3"/>
    <n v="3"/>
    <n v="2"/>
    <n v="0"/>
    <n v="2"/>
    <n v="0"/>
    <x v="0"/>
    <x v="2"/>
    <x v="2"/>
    <x v="3"/>
    <x v="1"/>
  </r>
  <r>
    <x v="36"/>
    <x v="1"/>
    <x v="1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x v="1"/>
    <n v="17"/>
    <n v="3"/>
    <n v="3"/>
    <n v="2"/>
    <n v="7"/>
    <n v="6"/>
    <n v="3"/>
    <n v="7"/>
    <n v="7"/>
    <n v="0"/>
    <n v="7"/>
    <n v="0"/>
    <x v="4"/>
    <x v="0"/>
    <x v="0"/>
    <x v="2"/>
    <x v="1"/>
  </r>
  <r>
    <x v="22"/>
    <x v="1"/>
    <x v="0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x v="1"/>
    <n v="21"/>
    <n v="4"/>
    <n v="3"/>
    <n v="0"/>
    <n v="7"/>
    <n v="3"/>
    <n v="3"/>
    <n v="5"/>
    <n v="4"/>
    <n v="1"/>
    <n v="0"/>
    <n v="0"/>
    <x v="0"/>
    <x v="0"/>
    <x v="2"/>
    <x v="1"/>
    <x v="1"/>
  </r>
  <r>
    <x v="1"/>
    <x v="1"/>
    <x v="0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x v="1"/>
    <n v="16"/>
    <n v="3"/>
    <n v="2"/>
    <n v="2"/>
    <n v="27"/>
    <n v="2"/>
    <n v="3"/>
    <n v="4"/>
    <n v="2"/>
    <n v="1"/>
    <n v="2"/>
    <n v="0"/>
    <x v="1"/>
    <x v="3"/>
    <x v="2"/>
    <x v="1"/>
    <x v="1"/>
  </r>
  <r>
    <x v="24"/>
    <x v="1"/>
    <x v="0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  <n v="0"/>
    <x v="1"/>
    <x v="3"/>
    <x v="3"/>
    <x v="3"/>
    <x v="1"/>
  </r>
  <r>
    <x v="35"/>
    <x v="1"/>
    <x v="0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x v="1"/>
    <n v="19"/>
    <n v="3"/>
    <n v="1"/>
    <n v="0"/>
    <n v="2"/>
    <n v="3"/>
    <n v="3"/>
    <n v="2"/>
    <n v="2"/>
    <n v="2"/>
    <n v="2"/>
    <n v="0"/>
    <x v="4"/>
    <x v="1"/>
    <x v="2"/>
    <x v="2"/>
    <x v="1"/>
  </r>
  <r>
    <x v="13"/>
    <x v="1"/>
    <x v="0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x v="1"/>
    <n v="12"/>
    <n v="3"/>
    <n v="3"/>
    <n v="1"/>
    <n v="11"/>
    <n v="2"/>
    <n v="3"/>
    <n v="11"/>
    <n v="8"/>
    <n v="7"/>
    <n v="9"/>
    <n v="0"/>
    <x v="2"/>
    <x v="0"/>
    <x v="3"/>
    <x v="1"/>
    <x v="1"/>
  </r>
  <r>
    <x v="9"/>
    <x v="1"/>
    <x v="0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x v="1"/>
    <n v="11"/>
    <n v="3"/>
    <n v="3"/>
    <n v="0"/>
    <n v="15"/>
    <n v="4"/>
    <n v="3"/>
    <n v="4"/>
    <n v="3"/>
    <n v="1"/>
    <n v="3"/>
    <n v="0"/>
    <x v="0"/>
    <x v="1"/>
    <x v="2"/>
    <x v="1"/>
    <x v="1"/>
  </r>
  <r>
    <x v="1"/>
    <x v="1"/>
    <x v="0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  <n v="0"/>
    <x v="1"/>
    <x v="3"/>
    <x v="3"/>
    <x v="2"/>
    <x v="1"/>
  </r>
  <r>
    <x v="9"/>
    <x v="1"/>
    <x v="2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x v="1"/>
    <n v="15"/>
    <n v="3"/>
    <n v="3"/>
    <n v="0"/>
    <n v="4"/>
    <n v="6"/>
    <n v="3"/>
    <n v="3"/>
    <n v="2"/>
    <n v="1"/>
    <n v="2"/>
    <n v="0"/>
    <x v="0"/>
    <x v="0"/>
    <x v="2"/>
    <x v="2"/>
    <x v="1"/>
  </r>
  <r>
    <x v="9"/>
    <x v="1"/>
    <x v="0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x v="1"/>
    <n v="20"/>
    <n v="4"/>
    <n v="1"/>
    <n v="1"/>
    <n v="13"/>
    <n v="3"/>
    <n v="3"/>
    <n v="5"/>
    <n v="4"/>
    <n v="0"/>
    <n v="4"/>
    <n v="0"/>
    <x v="0"/>
    <x v="2"/>
    <x v="2"/>
    <x v="3"/>
    <x v="1"/>
  </r>
  <r>
    <x v="33"/>
    <x v="1"/>
    <x v="0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x v="1"/>
    <n v="25"/>
    <n v="4"/>
    <n v="3"/>
    <n v="1"/>
    <n v="36"/>
    <n v="6"/>
    <n v="3"/>
    <n v="10"/>
    <n v="8"/>
    <n v="4"/>
    <n v="7"/>
    <n v="0"/>
    <x v="1"/>
    <x v="3"/>
    <x v="0"/>
    <x v="2"/>
    <x v="1"/>
  </r>
  <r>
    <x v="23"/>
    <x v="1"/>
    <x v="0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x v="1"/>
    <n v="24"/>
    <n v="4"/>
    <n v="1"/>
    <n v="1"/>
    <n v="14"/>
    <n v="3"/>
    <n v="3"/>
    <n v="14"/>
    <n v="10"/>
    <n v="6"/>
    <n v="11"/>
    <n v="0"/>
    <x v="0"/>
    <x v="3"/>
    <x v="3"/>
    <x v="2"/>
    <x v="1"/>
  </r>
  <r>
    <x v="10"/>
    <x v="0"/>
    <x v="1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x v="0"/>
    <n v="24"/>
    <n v="4"/>
    <n v="1"/>
    <n v="0"/>
    <n v="13"/>
    <n v="2"/>
    <n v="4"/>
    <n v="11"/>
    <n v="9"/>
    <n v="6"/>
    <n v="7"/>
    <n v="1"/>
    <x v="2"/>
    <x v="0"/>
    <x v="3"/>
    <x v="0"/>
    <x v="3"/>
  </r>
  <r>
    <x v="8"/>
    <x v="1"/>
    <x v="1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x v="1"/>
    <n v="15"/>
    <n v="3"/>
    <n v="4"/>
    <n v="2"/>
    <n v="19"/>
    <n v="4"/>
    <n v="4"/>
    <n v="13"/>
    <n v="11"/>
    <n v="2"/>
    <n v="9"/>
    <n v="0"/>
    <x v="0"/>
    <x v="0"/>
    <x v="3"/>
    <x v="0"/>
    <x v="3"/>
  </r>
  <r>
    <x v="11"/>
    <x v="1"/>
    <x v="0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x v="0"/>
    <n v="13"/>
    <n v="3"/>
    <n v="2"/>
    <n v="1"/>
    <n v="10"/>
    <n v="3"/>
    <n v="2"/>
    <n v="10"/>
    <n v="0"/>
    <n v="0"/>
    <n v="9"/>
    <n v="0"/>
    <x v="2"/>
    <x v="0"/>
    <x v="0"/>
    <x v="1"/>
    <x v="2"/>
  </r>
  <r>
    <x v="3"/>
    <x v="1"/>
    <x v="0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x v="1"/>
    <n v="14"/>
    <n v="3"/>
    <n v="3"/>
    <n v="2"/>
    <n v="6"/>
    <n v="5"/>
    <n v="3"/>
    <n v="6"/>
    <n v="2"/>
    <n v="0"/>
    <n v="4"/>
    <n v="0"/>
    <x v="2"/>
    <x v="0"/>
    <x v="0"/>
    <x v="0"/>
    <x v="1"/>
  </r>
  <r>
    <x v="5"/>
    <x v="1"/>
    <x v="0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x v="1"/>
    <n v="13"/>
    <n v="3"/>
    <n v="3"/>
    <n v="2"/>
    <n v="10"/>
    <n v="4"/>
    <n v="2"/>
    <n v="9"/>
    <n v="5"/>
    <n v="1"/>
    <n v="6"/>
    <n v="0"/>
    <x v="2"/>
    <x v="0"/>
    <x v="0"/>
    <x v="1"/>
    <x v="2"/>
  </r>
  <r>
    <x v="12"/>
    <x v="1"/>
    <x v="0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x v="1"/>
    <n v="11"/>
    <n v="3"/>
    <n v="1"/>
    <n v="2"/>
    <n v="10"/>
    <n v="2"/>
    <n v="3"/>
    <n v="10"/>
    <n v="0"/>
    <n v="0"/>
    <n v="2"/>
    <n v="0"/>
    <x v="2"/>
    <x v="0"/>
    <x v="0"/>
    <x v="0"/>
    <x v="1"/>
  </r>
  <r>
    <x v="1"/>
    <x v="1"/>
    <x v="0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x v="0"/>
    <n v="16"/>
    <n v="3"/>
    <n v="2"/>
    <n v="1"/>
    <n v="17"/>
    <n v="2"/>
    <n v="2"/>
    <n v="2"/>
    <n v="2"/>
    <n v="2"/>
    <n v="2"/>
    <n v="0"/>
    <x v="1"/>
    <x v="1"/>
    <x v="2"/>
    <x v="3"/>
    <x v="2"/>
  </r>
  <r>
    <x v="8"/>
    <x v="1"/>
    <x v="1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x v="1"/>
    <n v="22"/>
    <n v="4"/>
    <n v="2"/>
    <n v="0"/>
    <n v="4"/>
    <n v="3"/>
    <n v="3"/>
    <n v="4"/>
    <n v="3"/>
    <n v="3"/>
    <n v="3"/>
    <n v="0"/>
    <x v="0"/>
    <x v="1"/>
    <x v="2"/>
    <x v="1"/>
    <x v="1"/>
  </r>
  <r>
    <x v="40"/>
    <x v="1"/>
    <x v="0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x v="1"/>
    <n v="14"/>
    <n v="3"/>
    <n v="3"/>
    <n v="3"/>
    <n v="29"/>
    <n v="2"/>
    <n v="3"/>
    <n v="3"/>
    <n v="2"/>
    <n v="1"/>
    <n v="2"/>
    <n v="0"/>
    <x v="1"/>
    <x v="3"/>
    <x v="2"/>
    <x v="1"/>
    <x v="1"/>
  </r>
  <r>
    <x v="1"/>
    <x v="1"/>
    <x v="0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x v="1"/>
    <n v="14"/>
    <n v="3"/>
    <n v="1"/>
    <n v="0"/>
    <n v="23"/>
    <n v="2"/>
    <n v="3"/>
    <n v="8"/>
    <n v="7"/>
    <n v="0"/>
    <n v="0"/>
    <n v="0"/>
    <x v="1"/>
    <x v="3"/>
    <x v="0"/>
    <x v="2"/>
    <x v="1"/>
  </r>
  <r>
    <x v="0"/>
    <x v="1"/>
    <x v="0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x v="0"/>
    <n v="16"/>
    <n v="3"/>
    <n v="4"/>
    <n v="0"/>
    <n v="21"/>
    <n v="2"/>
    <n v="3"/>
    <n v="2"/>
    <n v="0"/>
    <n v="0"/>
    <n v="2"/>
    <n v="0"/>
    <x v="0"/>
    <x v="2"/>
    <x v="2"/>
    <x v="2"/>
    <x v="1"/>
  </r>
  <r>
    <x v="35"/>
    <x v="1"/>
    <x v="0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x v="1"/>
    <n v="11"/>
    <n v="3"/>
    <n v="1"/>
    <n v="0"/>
    <n v="2"/>
    <n v="3"/>
    <n v="3"/>
    <n v="2"/>
    <n v="2"/>
    <n v="0"/>
    <n v="2"/>
    <n v="0"/>
    <x v="4"/>
    <x v="1"/>
    <x v="2"/>
    <x v="3"/>
    <x v="1"/>
  </r>
  <r>
    <x v="3"/>
    <x v="1"/>
    <x v="2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x v="0"/>
    <n v="25"/>
    <n v="4"/>
    <n v="3"/>
    <n v="1"/>
    <n v="7"/>
    <n v="2"/>
    <n v="3"/>
    <n v="6"/>
    <n v="5"/>
    <n v="1"/>
    <n v="2"/>
    <n v="0"/>
    <x v="2"/>
    <x v="0"/>
    <x v="0"/>
    <x v="0"/>
    <x v="1"/>
  </r>
  <r>
    <x v="9"/>
    <x v="1"/>
    <x v="0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x v="1"/>
    <n v="14"/>
    <n v="3"/>
    <n v="2"/>
    <n v="2"/>
    <n v="10"/>
    <n v="2"/>
    <n v="2"/>
    <n v="3"/>
    <n v="2"/>
    <n v="0"/>
    <n v="2"/>
    <n v="0"/>
    <x v="0"/>
    <x v="0"/>
    <x v="2"/>
    <x v="2"/>
    <x v="2"/>
  </r>
  <r>
    <x v="20"/>
    <x v="1"/>
    <x v="0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x v="0"/>
    <n v="18"/>
    <n v="3"/>
    <n v="1"/>
    <n v="3"/>
    <n v="8"/>
    <n v="2"/>
    <n v="3"/>
    <n v="2"/>
    <n v="2"/>
    <n v="2"/>
    <n v="2"/>
    <n v="0"/>
    <x v="0"/>
    <x v="0"/>
    <x v="2"/>
    <x v="0"/>
    <x v="1"/>
  </r>
  <r>
    <x v="30"/>
    <x v="0"/>
    <x v="0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x v="0"/>
    <n v="11"/>
    <n v="3"/>
    <n v="1"/>
    <n v="0"/>
    <n v="5"/>
    <n v="2"/>
    <n v="3"/>
    <n v="5"/>
    <n v="4"/>
    <n v="1"/>
    <n v="2"/>
    <n v="1"/>
    <x v="4"/>
    <x v="0"/>
    <x v="2"/>
    <x v="2"/>
    <x v="1"/>
  </r>
  <r>
    <x v="8"/>
    <x v="1"/>
    <x v="0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x v="1"/>
    <n v="19"/>
    <n v="3"/>
    <n v="4"/>
    <n v="1"/>
    <n v="7"/>
    <n v="5"/>
    <n v="2"/>
    <n v="0"/>
    <n v="0"/>
    <n v="0"/>
    <n v="0"/>
    <n v="0"/>
    <x v="0"/>
    <x v="0"/>
    <x v="1"/>
    <x v="2"/>
    <x v="2"/>
  </r>
  <r>
    <x v="16"/>
    <x v="1"/>
    <x v="0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x v="1"/>
    <n v="15"/>
    <n v="3"/>
    <n v="3"/>
    <n v="0"/>
    <n v="11"/>
    <n v="2"/>
    <n v="3"/>
    <n v="4"/>
    <n v="3"/>
    <n v="1"/>
    <n v="2"/>
    <n v="0"/>
    <x v="1"/>
    <x v="2"/>
    <x v="2"/>
    <x v="0"/>
    <x v="1"/>
  </r>
  <r>
    <x v="26"/>
    <x v="0"/>
    <x v="1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x v="0"/>
    <n v="11"/>
    <n v="3"/>
    <n v="3"/>
    <n v="2"/>
    <n v="19"/>
    <n v="3"/>
    <n v="3"/>
    <n v="9"/>
    <n v="7"/>
    <n v="7"/>
    <n v="7"/>
    <n v="1"/>
    <x v="1"/>
    <x v="1"/>
    <x v="0"/>
    <x v="2"/>
    <x v="1"/>
  </r>
  <r>
    <x v="5"/>
    <x v="0"/>
    <x v="0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x v="1"/>
    <n v="12"/>
    <n v="3"/>
    <n v="1"/>
    <n v="0"/>
    <n v="1"/>
    <n v="2"/>
    <n v="3"/>
    <n v="1"/>
    <n v="0"/>
    <n v="0"/>
    <n v="0"/>
    <n v="1"/>
    <x v="2"/>
    <x v="1"/>
    <x v="1"/>
    <x v="1"/>
    <x v="1"/>
  </r>
  <r>
    <x v="25"/>
    <x v="1"/>
    <x v="2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x v="1"/>
    <n v="20"/>
    <n v="4"/>
    <n v="3"/>
    <n v="0"/>
    <n v="7"/>
    <n v="5"/>
    <n v="3"/>
    <n v="7"/>
    <n v="7"/>
    <n v="5"/>
    <n v="7"/>
    <n v="0"/>
    <x v="2"/>
    <x v="1"/>
    <x v="0"/>
    <x v="0"/>
    <x v="1"/>
  </r>
  <r>
    <x v="27"/>
    <x v="1"/>
    <x v="0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x v="1"/>
    <n v="12"/>
    <n v="3"/>
    <n v="4"/>
    <n v="1"/>
    <n v="8"/>
    <n v="1"/>
    <n v="3"/>
    <n v="4"/>
    <n v="2"/>
    <n v="1"/>
    <n v="2"/>
    <n v="0"/>
    <x v="1"/>
    <x v="0"/>
    <x v="2"/>
    <x v="1"/>
    <x v="1"/>
  </r>
  <r>
    <x v="13"/>
    <x v="1"/>
    <x v="0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x v="1"/>
    <n v="14"/>
    <n v="3"/>
    <n v="3"/>
    <n v="1"/>
    <n v="15"/>
    <n v="3"/>
    <n v="4"/>
    <n v="15"/>
    <n v="10"/>
    <n v="4"/>
    <n v="13"/>
    <n v="0"/>
    <x v="2"/>
    <x v="0"/>
    <x v="3"/>
    <x v="0"/>
    <x v="3"/>
  </r>
  <r>
    <x v="42"/>
    <x v="1"/>
    <x v="0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x v="1"/>
    <n v="20"/>
    <n v="4"/>
    <n v="3"/>
    <n v="1"/>
    <n v="19"/>
    <n v="2"/>
    <n v="4"/>
    <n v="1"/>
    <n v="0"/>
    <n v="0"/>
    <n v="0"/>
    <n v="0"/>
    <x v="3"/>
    <x v="3"/>
    <x v="1"/>
    <x v="0"/>
    <x v="3"/>
  </r>
  <r>
    <x v="3"/>
    <x v="1"/>
    <x v="0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x v="1"/>
    <n v="18"/>
    <n v="3"/>
    <n v="4"/>
    <n v="3"/>
    <n v="14"/>
    <n v="6"/>
    <n v="3"/>
    <n v="14"/>
    <n v="11"/>
    <n v="2"/>
    <n v="13"/>
    <n v="0"/>
    <x v="2"/>
    <x v="1"/>
    <x v="3"/>
    <x v="1"/>
    <x v="1"/>
  </r>
  <r>
    <x v="2"/>
    <x v="1"/>
    <x v="1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x v="1"/>
    <n v="14"/>
    <n v="3"/>
    <n v="3"/>
    <n v="2"/>
    <n v="6"/>
    <n v="2"/>
    <n v="2"/>
    <n v="6"/>
    <n v="3"/>
    <n v="1"/>
    <n v="3"/>
    <n v="0"/>
    <x v="0"/>
    <x v="2"/>
    <x v="0"/>
    <x v="0"/>
    <x v="2"/>
  </r>
  <r>
    <x v="13"/>
    <x v="1"/>
    <x v="0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x v="1"/>
    <n v="12"/>
    <n v="3"/>
    <n v="2"/>
    <n v="0"/>
    <n v="10"/>
    <n v="3"/>
    <n v="3"/>
    <n v="10"/>
    <n v="9"/>
    <n v="8"/>
    <n v="7"/>
    <n v="0"/>
    <x v="2"/>
    <x v="1"/>
    <x v="0"/>
    <x v="0"/>
    <x v="1"/>
  </r>
  <r>
    <x v="30"/>
    <x v="0"/>
    <x v="0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x v="0"/>
    <n v="21"/>
    <n v="4"/>
    <n v="2"/>
    <n v="1"/>
    <n v="3"/>
    <n v="2"/>
    <n v="3"/>
    <n v="3"/>
    <n v="2"/>
    <n v="0"/>
    <n v="2"/>
    <n v="1"/>
    <x v="4"/>
    <x v="1"/>
    <x v="2"/>
    <x v="0"/>
    <x v="1"/>
  </r>
  <r>
    <x v="20"/>
    <x v="1"/>
    <x v="0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x v="0"/>
    <n v="19"/>
    <n v="3"/>
    <n v="2"/>
    <n v="1"/>
    <n v="9"/>
    <n v="2"/>
    <n v="3"/>
    <n v="8"/>
    <n v="7"/>
    <n v="6"/>
    <n v="7"/>
    <n v="0"/>
    <x v="0"/>
    <x v="2"/>
    <x v="0"/>
    <x v="0"/>
    <x v="1"/>
  </r>
  <r>
    <x v="10"/>
    <x v="1"/>
    <x v="1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x v="0"/>
    <n v="14"/>
    <n v="3"/>
    <n v="3"/>
    <n v="0"/>
    <n v="6"/>
    <n v="2"/>
    <n v="4"/>
    <n v="5"/>
    <n v="4"/>
    <n v="1"/>
    <n v="4"/>
    <n v="0"/>
    <x v="2"/>
    <x v="0"/>
    <x v="2"/>
    <x v="0"/>
    <x v="3"/>
  </r>
  <r>
    <x v="23"/>
    <x v="1"/>
    <x v="0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x v="0"/>
    <n v="17"/>
    <n v="3"/>
    <n v="1"/>
    <n v="1"/>
    <n v="10"/>
    <n v="3"/>
    <n v="3"/>
    <n v="10"/>
    <n v="9"/>
    <n v="8"/>
    <n v="8"/>
    <n v="0"/>
    <x v="0"/>
    <x v="2"/>
    <x v="0"/>
    <x v="0"/>
    <x v="1"/>
  </r>
  <r>
    <x v="17"/>
    <x v="1"/>
    <x v="0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x v="1"/>
    <n v="16"/>
    <n v="3"/>
    <n v="4"/>
    <n v="1"/>
    <n v="5"/>
    <n v="1"/>
    <n v="3"/>
    <n v="5"/>
    <n v="3"/>
    <n v="0"/>
    <n v="4"/>
    <n v="0"/>
    <x v="4"/>
    <x v="0"/>
    <x v="2"/>
    <x v="2"/>
    <x v="1"/>
  </r>
  <r>
    <x v="0"/>
    <x v="1"/>
    <x v="0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x v="1"/>
    <n v="12"/>
    <n v="3"/>
    <n v="2"/>
    <n v="0"/>
    <n v="10"/>
    <n v="3"/>
    <n v="3"/>
    <n v="10"/>
    <n v="8"/>
    <n v="8"/>
    <n v="7"/>
    <n v="0"/>
    <x v="0"/>
    <x v="2"/>
    <x v="0"/>
    <x v="2"/>
    <x v="1"/>
  </r>
  <r>
    <x v="11"/>
    <x v="1"/>
    <x v="0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x v="1"/>
    <n v="17"/>
    <n v="3"/>
    <n v="3"/>
    <n v="1"/>
    <n v="9"/>
    <n v="2"/>
    <n v="3"/>
    <n v="5"/>
    <n v="3"/>
    <n v="1"/>
    <n v="2"/>
    <n v="0"/>
    <x v="2"/>
    <x v="1"/>
    <x v="2"/>
    <x v="2"/>
    <x v="1"/>
  </r>
  <r>
    <x v="9"/>
    <x v="1"/>
    <x v="0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x v="1"/>
    <n v="15"/>
    <n v="3"/>
    <n v="3"/>
    <n v="0"/>
    <n v="17"/>
    <n v="2"/>
    <n v="2"/>
    <n v="13"/>
    <n v="7"/>
    <n v="6"/>
    <n v="7"/>
    <n v="0"/>
    <x v="0"/>
    <x v="0"/>
    <x v="3"/>
    <x v="0"/>
    <x v="2"/>
  </r>
  <r>
    <x v="28"/>
    <x v="1"/>
    <x v="2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x v="1"/>
    <n v="23"/>
    <n v="4"/>
    <n v="4"/>
    <n v="1"/>
    <n v="25"/>
    <n v="3"/>
    <n v="2"/>
    <n v="23"/>
    <n v="15"/>
    <n v="14"/>
    <n v="4"/>
    <n v="0"/>
    <x v="0"/>
    <x v="3"/>
    <x v="3"/>
    <x v="2"/>
    <x v="2"/>
  </r>
  <r>
    <x v="17"/>
    <x v="0"/>
    <x v="0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x v="1"/>
    <n v="11"/>
    <n v="3"/>
    <n v="3"/>
    <n v="1"/>
    <n v="1"/>
    <n v="2"/>
    <n v="3"/>
    <n v="1"/>
    <n v="0"/>
    <n v="0"/>
    <n v="0"/>
    <n v="1"/>
    <x v="4"/>
    <x v="1"/>
    <x v="1"/>
    <x v="2"/>
    <x v="1"/>
  </r>
  <r>
    <x v="40"/>
    <x v="0"/>
    <x v="1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  <n v="1"/>
    <x v="1"/>
    <x v="3"/>
    <x v="3"/>
    <x v="2"/>
    <x v="0"/>
  </r>
  <r>
    <x v="25"/>
    <x v="1"/>
    <x v="0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x v="1"/>
    <n v="15"/>
    <n v="3"/>
    <n v="3"/>
    <n v="3"/>
    <n v="3"/>
    <n v="3"/>
    <n v="4"/>
    <n v="3"/>
    <n v="2"/>
    <n v="0"/>
    <n v="2"/>
    <n v="0"/>
    <x v="2"/>
    <x v="1"/>
    <x v="2"/>
    <x v="2"/>
    <x v="3"/>
  </r>
  <r>
    <x v="28"/>
    <x v="1"/>
    <x v="0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x v="1"/>
    <n v="11"/>
    <n v="3"/>
    <n v="3"/>
    <n v="0"/>
    <n v="21"/>
    <n v="2"/>
    <n v="3"/>
    <n v="21"/>
    <n v="6"/>
    <n v="8"/>
    <n v="6"/>
    <n v="0"/>
    <x v="0"/>
    <x v="3"/>
    <x v="3"/>
    <x v="1"/>
    <x v="1"/>
  </r>
  <r>
    <x v="5"/>
    <x v="1"/>
    <x v="1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x v="1"/>
    <n v="13"/>
    <n v="3"/>
    <n v="1"/>
    <n v="1"/>
    <n v="10"/>
    <n v="3"/>
    <n v="2"/>
    <n v="5"/>
    <n v="2"/>
    <n v="1"/>
    <n v="3"/>
    <n v="0"/>
    <x v="2"/>
    <x v="0"/>
    <x v="2"/>
    <x v="2"/>
    <x v="2"/>
  </r>
  <r>
    <x v="12"/>
    <x v="1"/>
    <x v="0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x v="1"/>
    <n v="14"/>
    <n v="3"/>
    <n v="4"/>
    <n v="1"/>
    <n v="6"/>
    <n v="2"/>
    <n v="4"/>
    <n v="5"/>
    <n v="2"/>
    <n v="0"/>
    <n v="3"/>
    <n v="0"/>
    <x v="2"/>
    <x v="0"/>
    <x v="2"/>
    <x v="2"/>
    <x v="3"/>
  </r>
  <r>
    <x v="0"/>
    <x v="1"/>
    <x v="2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x v="1"/>
    <n v="19"/>
    <n v="3"/>
    <n v="2"/>
    <n v="1"/>
    <n v="10"/>
    <n v="4"/>
    <n v="3"/>
    <n v="3"/>
    <n v="2"/>
    <n v="1"/>
    <n v="2"/>
    <n v="0"/>
    <x v="0"/>
    <x v="2"/>
    <x v="2"/>
    <x v="1"/>
    <x v="1"/>
  </r>
  <r>
    <x v="32"/>
    <x v="1"/>
    <x v="0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x v="0"/>
    <n v="16"/>
    <n v="3"/>
    <n v="2"/>
    <n v="1"/>
    <n v="18"/>
    <n v="3"/>
    <n v="3"/>
    <n v="1"/>
    <n v="0"/>
    <n v="0"/>
    <n v="0"/>
    <n v="0"/>
    <x v="0"/>
    <x v="2"/>
    <x v="1"/>
    <x v="3"/>
    <x v="1"/>
  </r>
  <r>
    <x v="17"/>
    <x v="1"/>
    <x v="0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x v="1"/>
    <n v="13"/>
    <n v="3"/>
    <n v="2"/>
    <n v="3"/>
    <n v="6"/>
    <n v="2"/>
    <n v="4"/>
    <n v="6"/>
    <n v="2"/>
    <n v="1"/>
    <n v="2"/>
    <n v="0"/>
    <x v="4"/>
    <x v="0"/>
    <x v="0"/>
    <x v="3"/>
    <x v="3"/>
  </r>
  <r>
    <x v="21"/>
    <x v="1"/>
    <x v="0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x v="1"/>
    <n v="14"/>
    <n v="3"/>
    <n v="4"/>
    <n v="0"/>
    <n v="19"/>
    <n v="3"/>
    <n v="3"/>
    <n v="10"/>
    <n v="7"/>
    <n v="0"/>
    <n v="9"/>
    <n v="0"/>
    <x v="1"/>
    <x v="0"/>
    <x v="0"/>
    <x v="1"/>
    <x v="1"/>
  </r>
  <r>
    <x v="10"/>
    <x v="1"/>
    <x v="0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x v="1"/>
    <n v="16"/>
    <n v="3"/>
    <n v="2"/>
    <n v="1"/>
    <n v="17"/>
    <n v="3"/>
    <n v="3"/>
    <n v="7"/>
    <n v="7"/>
    <n v="0"/>
    <n v="7"/>
    <n v="0"/>
    <x v="2"/>
    <x v="2"/>
    <x v="0"/>
    <x v="2"/>
    <x v="1"/>
  </r>
  <r>
    <x v="7"/>
    <x v="1"/>
    <x v="0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x v="1"/>
    <n v="12"/>
    <n v="3"/>
    <n v="2"/>
    <n v="1"/>
    <n v="10"/>
    <n v="2"/>
    <n v="2"/>
    <n v="10"/>
    <n v="0"/>
    <n v="0"/>
    <n v="8"/>
    <n v="0"/>
    <x v="2"/>
    <x v="1"/>
    <x v="0"/>
    <x v="0"/>
    <x v="2"/>
  </r>
  <r>
    <x v="40"/>
    <x v="1"/>
    <x v="2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x v="1"/>
    <n v="11"/>
    <n v="3"/>
    <n v="4"/>
    <n v="1"/>
    <n v="4"/>
    <n v="3"/>
    <n v="1"/>
    <n v="1"/>
    <n v="0"/>
    <n v="0"/>
    <n v="0"/>
    <n v="0"/>
    <x v="1"/>
    <x v="0"/>
    <x v="1"/>
    <x v="1"/>
    <x v="0"/>
  </r>
  <r>
    <x v="21"/>
    <x v="1"/>
    <x v="0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x v="0"/>
    <n v="12"/>
    <n v="3"/>
    <n v="2"/>
    <n v="1"/>
    <n v="13"/>
    <n v="5"/>
    <n v="2"/>
    <n v="10"/>
    <n v="6"/>
    <n v="0"/>
    <n v="3"/>
    <n v="0"/>
    <x v="1"/>
    <x v="3"/>
    <x v="0"/>
    <x v="0"/>
    <x v="2"/>
  </r>
  <r>
    <x v="9"/>
    <x v="0"/>
    <x v="0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x v="0"/>
    <n v="13"/>
    <n v="3"/>
    <n v="2"/>
    <n v="3"/>
    <n v="16"/>
    <n v="3"/>
    <n v="3"/>
    <n v="2"/>
    <n v="2"/>
    <n v="2"/>
    <n v="2"/>
    <n v="1"/>
    <x v="0"/>
    <x v="2"/>
    <x v="2"/>
    <x v="3"/>
    <x v="1"/>
  </r>
  <r>
    <x v="5"/>
    <x v="0"/>
    <x v="0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x v="1"/>
    <n v="15"/>
    <n v="3"/>
    <n v="2"/>
    <n v="0"/>
    <n v="10"/>
    <n v="2"/>
    <n v="3"/>
    <n v="0"/>
    <n v="0"/>
    <n v="0"/>
    <n v="0"/>
    <n v="1"/>
    <x v="2"/>
    <x v="2"/>
    <x v="1"/>
    <x v="1"/>
    <x v="1"/>
  </r>
  <r>
    <x v="30"/>
    <x v="1"/>
    <x v="0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x v="1"/>
    <n v="13"/>
    <n v="3"/>
    <n v="3"/>
    <n v="0"/>
    <n v="3"/>
    <n v="3"/>
    <n v="1"/>
    <n v="3"/>
    <n v="2"/>
    <n v="1"/>
    <n v="2"/>
    <n v="0"/>
    <x v="4"/>
    <x v="0"/>
    <x v="2"/>
    <x v="1"/>
    <x v="0"/>
  </r>
  <r>
    <x v="12"/>
    <x v="1"/>
    <x v="1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x v="1"/>
    <n v="20"/>
    <n v="4"/>
    <n v="4"/>
    <n v="0"/>
    <n v="9"/>
    <n v="3"/>
    <n v="2"/>
    <n v="5"/>
    <n v="4"/>
    <n v="1"/>
    <n v="4"/>
    <n v="0"/>
    <x v="2"/>
    <x v="0"/>
    <x v="2"/>
    <x v="0"/>
    <x v="2"/>
  </r>
  <r>
    <x v="22"/>
    <x v="1"/>
    <x v="2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x v="0"/>
    <n v="15"/>
    <n v="3"/>
    <n v="4"/>
    <n v="1"/>
    <n v="9"/>
    <n v="2"/>
    <n v="3"/>
    <n v="9"/>
    <n v="8"/>
    <n v="5"/>
    <n v="8"/>
    <n v="0"/>
    <x v="0"/>
    <x v="2"/>
    <x v="0"/>
    <x v="0"/>
    <x v="1"/>
  </r>
  <r>
    <x v="5"/>
    <x v="1"/>
    <x v="0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x v="1"/>
    <n v="13"/>
    <n v="3"/>
    <n v="3"/>
    <n v="1"/>
    <n v="10"/>
    <n v="2"/>
    <n v="1"/>
    <n v="4"/>
    <n v="3"/>
    <n v="0"/>
    <n v="2"/>
    <n v="0"/>
    <x v="2"/>
    <x v="2"/>
    <x v="2"/>
    <x v="2"/>
    <x v="0"/>
  </r>
  <r>
    <x v="32"/>
    <x v="1"/>
    <x v="0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x v="1"/>
    <n v="14"/>
    <n v="3"/>
    <n v="2"/>
    <n v="0"/>
    <n v="21"/>
    <n v="3"/>
    <n v="2"/>
    <n v="21"/>
    <n v="8"/>
    <n v="12"/>
    <n v="8"/>
    <n v="0"/>
    <x v="0"/>
    <x v="3"/>
    <x v="3"/>
    <x v="1"/>
    <x v="2"/>
  </r>
  <r>
    <x v="28"/>
    <x v="1"/>
    <x v="0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x v="1"/>
    <n v="21"/>
    <n v="4"/>
    <n v="3"/>
    <n v="2"/>
    <n v="9"/>
    <n v="2"/>
    <n v="4"/>
    <n v="5"/>
    <n v="0"/>
    <n v="0"/>
    <n v="3"/>
    <n v="0"/>
    <x v="0"/>
    <x v="2"/>
    <x v="2"/>
    <x v="2"/>
    <x v="3"/>
  </r>
  <r>
    <x v="7"/>
    <x v="1"/>
    <x v="1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x v="1"/>
    <n v="16"/>
    <n v="3"/>
    <n v="4"/>
    <n v="0"/>
    <n v="10"/>
    <n v="2"/>
    <n v="3"/>
    <n v="9"/>
    <n v="7"/>
    <n v="0"/>
    <n v="7"/>
    <n v="0"/>
    <x v="2"/>
    <x v="0"/>
    <x v="0"/>
    <x v="3"/>
    <x v="1"/>
  </r>
  <r>
    <x v="17"/>
    <x v="1"/>
    <x v="1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x v="1"/>
    <n v="14"/>
    <n v="3"/>
    <n v="4"/>
    <n v="1"/>
    <n v="3"/>
    <n v="2"/>
    <n v="3"/>
    <n v="2"/>
    <n v="2"/>
    <n v="2"/>
    <n v="1"/>
    <n v="0"/>
    <x v="4"/>
    <x v="1"/>
    <x v="2"/>
    <x v="0"/>
    <x v="1"/>
  </r>
  <r>
    <x v="7"/>
    <x v="0"/>
    <x v="1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x v="1"/>
    <n v="11"/>
    <n v="3"/>
    <n v="3"/>
    <n v="1"/>
    <n v="6"/>
    <n v="0"/>
    <n v="2"/>
    <n v="4"/>
    <n v="2"/>
    <n v="1"/>
    <n v="2"/>
    <n v="1"/>
    <x v="2"/>
    <x v="1"/>
    <x v="2"/>
    <x v="0"/>
    <x v="2"/>
  </r>
  <r>
    <x v="12"/>
    <x v="1"/>
    <x v="0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x v="1"/>
    <n v="19"/>
    <n v="3"/>
    <n v="3"/>
    <n v="1"/>
    <n v="6"/>
    <n v="3"/>
    <n v="3"/>
    <n v="5"/>
    <n v="2"/>
    <n v="0"/>
    <n v="2"/>
    <n v="0"/>
    <x v="2"/>
    <x v="2"/>
    <x v="2"/>
    <x v="2"/>
    <x v="1"/>
  </r>
  <r>
    <x v="4"/>
    <x v="1"/>
    <x v="0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x v="1"/>
    <n v="11"/>
    <n v="3"/>
    <n v="3"/>
    <n v="0"/>
    <n v="6"/>
    <n v="5"/>
    <n v="2"/>
    <n v="6"/>
    <n v="2"/>
    <n v="1"/>
    <n v="4"/>
    <n v="0"/>
    <x v="2"/>
    <x v="0"/>
    <x v="0"/>
    <x v="0"/>
    <x v="2"/>
  </r>
  <r>
    <x v="11"/>
    <x v="0"/>
    <x v="0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x v="1"/>
    <n v="13"/>
    <n v="3"/>
    <n v="3"/>
    <n v="0"/>
    <n v="2"/>
    <n v="3"/>
    <n v="3"/>
    <n v="2"/>
    <n v="2"/>
    <n v="2"/>
    <n v="2"/>
    <n v="1"/>
    <x v="2"/>
    <x v="1"/>
    <x v="2"/>
    <x v="1"/>
    <x v="1"/>
  </r>
  <r>
    <x v="11"/>
    <x v="1"/>
    <x v="1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x v="0"/>
    <n v="12"/>
    <n v="3"/>
    <n v="4"/>
    <n v="0"/>
    <n v="10"/>
    <n v="5"/>
    <n v="4"/>
    <n v="3"/>
    <n v="2"/>
    <n v="0"/>
    <n v="2"/>
    <n v="0"/>
    <x v="2"/>
    <x v="2"/>
    <x v="2"/>
    <x v="2"/>
    <x v="3"/>
  </r>
  <r>
    <x v="7"/>
    <x v="1"/>
    <x v="0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x v="1"/>
    <n v="11"/>
    <n v="3"/>
    <n v="1"/>
    <n v="1"/>
    <n v="12"/>
    <n v="2"/>
    <n v="3"/>
    <n v="7"/>
    <n v="7"/>
    <n v="1"/>
    <n v="7"/>
    <n v="0"/>
    <x v="2"/>
    <x v="2"/>
    <x v="0"/>
    <x v="3"/>
    <x v="1"/>
  </r>
  <r>
    <x v="13"/>
    <x v="1"/>
    <x v="0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x v="0"/>
    <n v="14"/>
    <n v="3"/>
    <n v="1"/>
    <n v="3"/>
    <n v="6"/>
    <n v="3"/>
    <n v="3"/>
    <n v="5"/>
    <n v="0"/>
    <n v="1"/>
    <n v="2"/>
    <n v="0"/>
    <x v="2"/>
    <x v="1"/>
    <x v="2"/>
    <x v="0"/>
    <x v="1"/>
  </r>
  <r>
    <x v="3"/>
    <x v="1"/>
    <x v="2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x v="1"/>
    <n v="15"/>
    <n v="3"/>
    <n v="4"/>
    <n v="0"/>
    <n v="13"/>
    <n v="2"/>
    <n v="2"/>
    <n v="11"/>
    <n v="7"/>
    <n v="1"/>
    <n v="7"/>
    <n v="0"/>
    <x v="2"/>
    <x v="0"/>
    <x v="3"/>
    <x v="1"/>
    <x v="2"/>
  </r>
  <r>
    <x v="1"/>
    <x v="1"/>
    <x v="0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x v="1"/>
    <n v="12"/>
    <n v="3"/>
    <n v="3"/>
    <n v="0"/>
    <n v="8"/>
    <n v="1"/>
    <n v="4"/>
    <n v="5"/>
    <n v="1"/>
    <n v="0"/>
    <n v="4"/>
    <n v="0"/>
    <x v="1"/>
    <x v="0"/>
    <x v="2"/>
    <x v="0"/>
    <x v="3"/>
  </r>
  <r>
    <x v="3"/>
    <x v="0"/>
    <x v="0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x v="0"/>
    <n v="20"/>
    <n v="4"/>
    <n v="3"/>
    <n v="0"/>
    <n v="11"/>
    <n v="2"/>
    <n v="2"/>
    <n v="0"/>
    <n v="0"/>
    <n v="0"/>
    <n v="0"/>
    <n v="1"/>
    <x v="2"/>
    <x v="2"/>
    <x v="1"/>
    <x v="3"/>
    <x v="2"/>
  </r>
  <r>
    <x v="8"/>
    <x v="1"/>
    <x v="1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x v="1"/>
    <n v="14"/>
    <n v="3"/>
    <n v="2"/>
    <n v="1"/>
    <n v="9"/>
    <n v="4"/>
    <n v="2"/>
    <n v="6"/>
    <n v="1"/>
    <n v="0"/>
    <n v="5"/>
    <n v="0"/>
    <x v="0"/>
    <x v="1"/>
    <x v="0"/>
    <x v="1"/>
    <x v="2"/>
  </r>
  <r>
    <x v="12"/>
    <x v="0"/>
    <x v="0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x v="1"/>
    <n v="13"/>
    <n v="3"/>
    <n v="1"/>
    <n v="3"/>
    <n v="10"/>
    <n v="2"/>
    <n v="3"/>
    <n v="1"/>
    <n v="0"/>
    <n v="0"/>
    <n v="0"/>
    <n v="1"/>
    <x v="2"/>
    <x v="2"/>
    <x v="1"/>
    <x v="2"/>
    <x v="1"/>
  </r>
  <r>
    <x v="11"/>
    <x v="1"/>
    <x v="0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x v="1"/>
    <n v="13"/>
    <n v="3"/>
    <n v="3"/>
    <n v="1"/>
    <n v="1"/>
    <n v="2"/>
    <n v="3"/>
    <n v="1"/>
    <n v="0"/>
    <n v="0"/>
    <n v="0"/>
    <n v="0"/>
    <x v="2"/>
    <x v="1"/>
    <x v="1"/>
    <x v="3"/>
    <x v="1"/>
  </r>
  <r>
    <x v="7"/>
    <x v="1"/>
    <x v="0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x v="1"/>
    <n v="16"/>
    <n v="3"/>
    <n v="3"/>
    <n v="1"/>
    <n v="10"/>
    <n v="3"/>
    <n v="3"/>
    <n v="7"/>
    <n v="0"/>
    <n v="1"/>
    <n v="7"/>
    <n v="0"/>
    <x v="2"/>
    <x v="0"/>
    <x v="0"/>
    <x v="2"/>
    <x v="1"/>
  </r>
  <r>
    <x v="5"/>
    <x v="1"/>
    <x v="2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x v="1"/>
    <n v="14"/>
    <n v="3"/>
    <n v="2"/>
    <n v="0"/>
    <n v="12"/>
    <n v="3"/>
    <n v="3"/>
    <n v="7"/>
    <n v="7"/>
    <n v="0"/>
    <n v="7"/>
    <n v="0"/>
    <x v="2"/>
    <x v="1"/>
    <x v="0"/>
    <x v="1"/>
    <x v="1"/>
  </r>
  <r>
    <x v="8"/>
    <x v="1"/>
    <x v="0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x v="0"/>
    <n v="16"/>
    <n v="3"/>
    <n v="3"/>
    <n v="1"/>
    <n v="15"/>
    <n v="2"/>
    <n v="3"/>
    <n v="1"/>
    <n v="0"/>
    <n v="1"/>
    <n v="0"/>
    <n v="0"/>
    <x v="0"/>
    <x v="0"/>
    <x v="1"/>
    <x v="0"/>
    <x v="1"/>
  </r>
  <r>
    <x v="23"/>
    <x v="0"/>
    <x v="1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x v="0"/>
    <n v="16"/>
    <n v="3"/>
    <n v="4"/>
    <n v="1"/>
    <n v="6"/>
    <n v="4"/>
    <n v="3"/>
    <n v="1"/>
    <n v="0"/>
    <n v="0"/>
    <n v="0"/>
    <n v="1"/>
    <x v="0"/>
    <x v="1"/>
    <x v="1"/>
    <x v="2"/>
    <x v="1"/>
  </r>
  <r>
    <x v="19"/>
    <x v="1"/>
    <x v="0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x v="1"/>
    <n v="22"/>
    <n v="4"/>
    <n v="2"/>
    <n v="3"/>
    <n v="7"/>
    <n v="6"/>
    <n v="2"/>
    <n v="5"/>
    <n v="3"/>
    <n v="0"/>
    <n v="4"/>
    <n v="0"/>
    <x v="0"/>
    <x v="1"/>
    <x v="2"/>
    <x v="1"/>
    <x v="2"/>
  </r>
  <r>
    <x v="27"/>
    <x v="1"/>
    <x v="0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x v="1"/>
    <n v="12"/>
    <n v="3"/>
    <n v="2"/>
    <n v="3"/>
    <n v="34"/>
    <n v="2"/>
    <n v="3"/>
    <n v="1"/>
    <n v="0"/>
    <n v="0"/>
    <n v="0"/>
    <n v="0"/>
    <x v="1"/>
    <x v="3"/>
    <x v="1"/>
    <x v="3"/>
    <x v="1"/>
  </r>
  <r>
    <x v="3"/>
    <x v="1"/>
    <x v="2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x v="1"/>
    <n v="15"/>
    <n v="3"/>
    <n v="4"/>
    <n v="2"/>
    <n v="11"/>
    <n v="2"/>
    <n v="2"/>
    <n v="9"/>
    <n v="8"/>
    <n v="1"/>
    <n v="7"/>
    <n v="0"/>
    <x v="2"/>
    <x v="0"/>
    <x v="0"/>
    <x v="1"/>
    <x v="2"/>
  </r>
  <r>
    <x v="0"/>
    <x v="1"/>
    <x v="0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x v="1"/>
    <n v="20"/>
    <n v="4"/>
    <n v="2"/>
    <n v="2"/>
    <n v="5"/>
    <n v="2"/>
    <n v="3"/>
    <n v="5"/>
    <n v="3"/>
    <n v="0"/>
    <n v="4"/>
    <n v="0"/>
    <x v="0"/>
    <x v="1"/>
    <x v="2"/>
    <x v="3"/>
    <x v="1"/>
  </r>
  <r>
    <x v="13"/>
    <x v="1"/>
    <x v="2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x v="0"/>
    <n v="14"/>
    <n v="3"/>
    <n v="3"/>
    <n v="1"/>
    <n v="15"/>
    <n v="3"/>
    <n v="3"/>
    <n v="15"/>
    <n v="14"/>
    <n v="0"/>
    <n v="7"/>
    <n v="0"/>
    <x v="2"/>
    <x v="0"/>
    <x v="3"/>
    <x v="2"/>
    <x v="1"/>
  </r>
  <r>
    <x v="16"/>
    <x v="1"/>
    <x v="2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x v="0"/>
    <n v="20"/>
    <n v="4"/>
    <n v="4"/>
    <n v="3"/>
    <n v="27"/>
    <n v="2"/>
    <n v="2"/>
    <n v="3"/>
    <n v="2"/>
    <n v="0"/>
    <n v="2"/>
    <n v="0"/>
    <x v="1"/>
    <x v="3"/>
    <x v="2"/>
    <x v="2"/>
    <x v="2"/>
  </r>
  <r>
    <x v="23"/>
    <x v="1"/>
    <x v="0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x v="1"/>
    <n v="13"/>
    <n v="3"/>
    <n v="2"/>
    <n v="0"/>
    <n v="10"/>
    <n v="5"/>
    <n v="3"/>
    <n v="9"/>
    <n v="7"/>
    <n v="1"/>
    <n v="8"/>
    <n v="0"/>
    <x v="0"/>
    <x v="0"/>
    <x v="0"/>
    <x v="0"/>
    <x v="1"/>
  </r>
  <r>
    <x v="13"/>
    <x v="1"/>
    <x v="0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x v="1"/>
    <n v="12"/>
    <n v="3"/>
    <n v="1"/>
    <n v="0"/>
    <n v="6"/>
    <n v="3"/>
    <n v="3"/>
    <n v="2"/>
    <n v="2"/>
    <n v="2"/>
    <n v="2"/>
    <n v="0"/>
    <x v="2"/>
    <x v="2"/>
    <x v="2"/>
    <x v="0"/>
    <x v="1"/>
  </r>
  <r>
    <x v="18"/>
    <x v="0"/>
    <x v="0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x v="1"/>
    <n v="13"/>
    <n v="3"/>
    <n v="2"/>
    <n v="0"/>
    <n v="1"/>
    <n v="3"/>
    <n v="3"/>
    <n v="1"/>
    <n v="0"/>
    <n v="1"/>
    <n v="0"/>
    <n v="1"/>
    <x v="4"/>
    <x v="1"/>
    <x v="1"/>
    <x v="1"/>
    <x v="1"/>
  </r>
  <r>
    <x v="8"/>
    <x v="1"/>
    <x v="0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x v="1"/>
    <n v="11"/>
    <n v="3"/>
    <n v="2"/>
    <n v="1"/>
    <n v="5"/>
    <n v="3"/>
    <n v="3"/>
    <n v="5"/>
    <n v="4"/>
    <n v="0"/>
    <n v="4"/>
    <n v="0"/>
    <x v="0"/>
    <x v="0"/>
    <x v="2"/>
    <x v="2"/>
    <x v="1"/>
  </r>
  <r>
    <x v="15"/>
    <x v="0"/>
    <x v="0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x v="0"/>
    <n v="17"/>
    <n v="3"/>
    <n v="3"/>
    <n v="0"/>
    <n v="1"/>
    <n v="6"/>
    <n v="3"/>
    <n v="1"/>
    <n v="0"/>
    <n v="0"/>
    <n v="0"/>
    <n v="1"/>
    <x v="4"/>
    <x v="1"/>
    <x v="1"/>
    <x v="3"/>
    <x v="1"/>
  </r>
  <r>
    <x v="12"/>
    <x v="1"/>
    <x v="0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x v="1"/>
    <n v="14"/>
    <n v="3"/>
    <n v="1"/>
    <n v="2"/>
    <n v="13"/>
    <n v="3"/>
    <n v="3"/>
    <n v="12"/>
    <n v="7"/>
    <n v="5"/>
    <n v="7"/>
    <n v="0"/>
    <x v="2"/>
    <x v="0"/>
    <x v="3"/>
    <x v="0"/>
    <x v="1"/>
  </r>
  <r>
    <x v="31"/>
    <x v="1"/>
    <x v="0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x v="1"/>
    <n v="11"/>
    <n v="3"/>
    <n v="4"/>
    <n v="0"/>
    <n v="15"/>
    <n v="2"/>
    <n v="3"/>
    <n v="2"/>
    <n v="2"/>
    <n v="2"/>
    <n v="2"/>
    <n v="0"/>
    <x v="1"/>
    <x v="3"/>
    <x v="2"/>
    <x v="2"/>
    <x v="1"/>
  </r>
  <r>
    <x v="2"/>
    <x v="1"/>
    <x v="0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x v="1"/>
    <n v="14"/>
    <n v="3"/>
    <n v="1"/>
    <n v="2"/>
    <n v="5"/>
    <n v="2"/>
    <n v="3"/>
    <n v="5"/>
    <n v="2"/>
    <n v="0"/>
    <n v="3"/>
    <n v="0"/>
    <x v="0"/>
    <x v="0"/>
    <x v="2"/>
    <x v="1"/>
    <x v="1"/>
  </r>
  <r>
    <x v="21"/>
    <x v="1"/>
    <x v="0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x v="0"/>
    <n v="17"/>
    <n v="3"/>
    <n v="3"/>
    <n v="1"/>
    <n v="24"/>
    <n v="3"/>
    <n v="3"/>
    <n v="2"/>
    <n v="1"/>
    <n v="2"/>
    <n v="2"/>
    <n v="0"/>
    <x v="1"/>
    <x v="3"/>
    <x v="2"/>
    <x v="0"/>
    <x v="1"/>
  </r>
  <r>
    <x v="9"/>
    <x v="1"/>
    <x v="0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x v="0"/>
    <n v="13"/>
    <n v="3"/>
    <n v="4"/>
    <n v="1"/>
    <n v="15"/>
    <n v="1"/>
    <n v="3"/>
    <n v="12"/>
    <n v="8"/>
    <n v="5"/>
    <n v="7"/>
    <n v="0"/>
    <x v="0"/>
    <x v="2"/>
    <x v="3"/>
    <x v="3"/>
    <x v="1"/>
  </r>
  <r>
    <x v="20"/>
    <x v="0"/>
    <x v="1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x v="0"/>
    <n v="12"/>
    <n v="3"/>
    <n v="3"/>
    <n v="3"/>
    <n v="6"/>
    <n v="2"/>
    <n v="2"/>
    <n v="5"/>
    <n v="3"/>
    <n v="2"/>
    <n v="3"/>
    <n v="1"/>
    <x v="0"/>
    <x v="1"/>
    <x v="2"/>
    <x v="1"/>
    <x v="2"/>
  </r>
  <r>
    <x v="2"/>
    <x v="1"/>
    <x v="0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x v="1"/>
    <n v="13"/>
    <n v="3"/>
    <n v="3"/>
    <n v="0"/>
    <n v="19"/>
    <n v="4"/>
    <n v="2"/>
    <n v="10"/>
    <n v="0"/>
    <n v="4"/>
    <n v="7"/>
    <n v="0"/>
    <x v="0"/>
    <x v="0"/>
    <x v="0"/>
    <x v="1"/>
    <x v="2"/>
  </r>
  <r>
    <x v="10"/>
    <x v="0"/>
    <x v="0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x v="0"/>
    <n v="18"/>
    <n v="3"/>
    <n v="4"/>
    <n v="0"/>
    <n v="10"/>
    <n v="2"/>
    <n v="3"/>
    <n v="10"/>
    <n v="7"/>
    <n v="7"/>
    <n v="7"/>
    <n v="1"/>
    <x v="2"/>
    <x v="0"/>
    <x v="0"/>
    <x v="0"/>
    <x v="1"/>
  </r>
  <r>
    <x v="3"/>
    <x v="1"/>
    <x v="0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x v="1"/>
    <n v="19"/>
    <n v="3"/>
    <n v="2"/>
    <n v="1"/>
    <n v="14"/>
    <n v="1"/>
    <n v="3"/>
    <n v="10"/>
    <n v="8"/>
    <n v="7"/>
    <n v="6"/>
    <n v="0"/>
    <x v="2"/>
    <x v="0"/>
    <x v="0"/>
    <x v="3"/>
    <x v="1"/>
  </r>
  <r>
    <x v="14"/>
    <x v="1"/>
    <x v="0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x v="1"/>
    <n v="11"/>
    <n v="3"/>
    <n v="3"/>
    <n v="1"/>
    <n v="5"/>
    <n v="6"/>
    <n v="4"/>
    <n v="5"/>
    <n v="3"/>
    <n v="0"/>
    <n v="3"/>
    <n v="0"/>
    <x v="2"/>
    <x v="1"/>
    <x v="2"/>
    <x v="0"/>
    <x v="3"/>
  </r>
  <r>
    <x v="22"/>
    <x v="1"/>
    <x v="0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x v="1"/>
    <n v="21"/>
    <n v="4"/>
    <n v="3"/>
    <n v="0"/>
    <n v="9"/>
    <n v="3"/>
    <n v="3"/>
    <n v="4"/>
    <n v="3"/>
    <n v="2"/>
    <n v="2"/>
    <n v="0"/>
    <x v="0"/>
    <x v="3"/>
    <x v="2"/>
    <x v="2"/>
    <x v="1"/>
  </r>
  <r>
    <x v="21"/>
    <x v="1"/>
    <x v="2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x v="1"/>
    <n v="15"/>
    <n v="3"/>
    <n v="3"/>
    <n v="0"/>
    <n v="6"/>
    <n v="3"/>
    <n v="3"/>
    <n v="2"/>
    <n v="2"/>
    <n v="2"/>
    <n v="2"/>
    <n v="0"/>
    <x v="1"/>
    <x v="2"/>
    <x v="2"/>
    <x v="1"/>
    <x v="1"/>
  </r>
  <r>
    <x v="32"/>
    <x v="1"/>
    <x v="0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x v="1"/>
    <n v="17"/>
    <n v="3"/>
    <n v="4"/>
    <n v="1"/>
    <n v="7"/>
    <n v="5"/>
    <n v="2"/>
    <n v="4"/>
    <n v="3"/>
    <n v="0"/>
    <n v="2"/>
    <n v="0"/>
    <x v="0"/>
    <x v="0"/>
    <x v="2"/>
    <x v="3"/>
    <x v="2"/>
  </r>
  <r>
    <x v="19"/>
    <x v="1"/>
    <x v="0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x v="1"/>
    <n v="18"/>
    <n v="3"/>
    <n v="3"/>
    <n v="2"/>
    <n v="10"/>
    <n v="2"/>
    <n v="2"/>
    <n v="0"/>
    <n v="0"/>
    <n v="0"/>
    <n v="0"/>
    <n v="0"/>
    <x v="0"/>
    <x v="0"/>
    <x v="1"/>
    <x v="3"/>
    <x v="2"/>
  </r>
  <r>
    <x v="10"/>
    <x v="1"/>
    <x v="2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x v="1"/>
    <n v="14"/>
    <n v="3"/>
    <n v="3"/>
    <n v="1"/>
    <n v="15"/>
    <n v="6"/>
    <n v="3"/>
    <n v="7"/>
    <n v="7"/>
    <n v="1"/>
    <n v="7"/>
    <n v="0"/>
    <x v="2"/>
    <x v="0"/>
    <x v="0"/>
    <x v="0"/>
    <x v="1"/>
  </r>
  <r>
    <x v="8"/>
    <x v="1"/>
    <x v="2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x v="1"/>
    <n v="13"/>
    <n v="3"/>
    <n v="4"/>
    <n v="3"/>
    <n v="13"/>
    <n v="3"/>
    <n v="3"/>
    <n v="11"/>
    <n v="10"/>
    <n v="3"/>
    <n v="8"/>
    <n v="0"/>
    <x v="0"/>
    <x v="1"/>
    <x v="3"/>
    <x v="1"/>
    <x v="1"/>
  </r>
  <r>
    <x v="13"/>
    <x v="0"/>
    <x v="1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x v="1"/>
    <n v="17"/>
    <n v="3"/>
    <n v="3"/>
    <n v="1"/>
    <n v="11"/>
    <n v="3"/>
    <n v="2"/>
    <n v="7"/>
    <n v="1"/>
    <n v="0"/>
    <n v="7"/>
    <n v="1"/>
    <x v="2"/>
    <x v="0"/>
    <x v="0"/>
    <x v="3"/>
    <x v="2"/>
  </r>
  <r>
    <x v="2"/>
    <x v="0"/>
    <x v="0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x v="1"/>
    <n v="15"/>
    <n v="3"/>
    <n v="2"/>
    <n v="0"/>
    <n v="10"/>
    <n v="4"/>
    <n v="1"/>
    <n v="10"/>
    <n v="3"/>
    <n v="0"/>
    <n v="8"/>
    <n v="1"/>
    <x v="0"/>
    <x v="0"/>
    <x v="0"/>
    <x v="3"/>
    <x v="0"/>
  </r>
  <r>
    <x v="22"/>
    <x v="1"/>
    <x v="1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x v="1"/>
    <n v="18"/>
    <n v="3"/>
    <n v="4"/>
    <n v="1"/>
    <n v="7"/>
    <n v="6"/>
    <n v="3"/>
    <n v="2"/>
    <n v="1"/>
    <n v="2"/>
    <n v="2"/>
    <n v="0"/>
    <x v="0"/>
    <x v="0"/>
    <x v="2"/>
    <x v="0"/>
    <x v="1"/>
  </r>
  <r>
    <x v="23"/>
    <x v="1"/>
    <x v="2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x v="1"/>
    <n v="13"/>
    <n v="3"/>
    <n v="3"/>
    <n v="0"/>
    <n v="7"/>
    <n v="2"/>
    <n v="2"/>
    <n v="3"/>
    <n v="2"/>
    <n v="1"/>
    <n v="2"/>
    <n v="0"/>
    <x v="0"/>
    <x v="1"/>
    <x v="2"/>
    <x v="2"/>
    <x v="2"/>
  </r>
  <r>
    <x v="0"/>
    <x v="1"/>
    <x v="0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x v="1"/>
    <n v="12"/>
    <n v="3"/>
    <n v="1"/>
    <n v="0"/>
    <n v="11"/>
    <n v="3"/>
    <n v="1"/>
    <n v="3"/>
    <n v="2"/>
    <n v="1"/>
    <n v="2"/>
    <n v="0"/>
    <x v="0"/>
    <x v="2"/>
    <x v="2"/>
    <x v="1"/>
    <x v="0"/>
  </r>
  <r>
    <x v="0"/>
    <x v="1"/>
    <x v="0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  <n v="0"/>
    <x v="0"/>
    <x v="3"/>
    <x v="3"/>
    <x v="2"/>
    <x v="3"/>
  </r>
  <r>
    <x v="7"/>
    <x v="1"/>
    <x v="0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x v="1"/>
    <n v="14"/>
    <n v="3"/>
    <n v="2"/>
    <n v="0"/>
    <n v="9"/>
    <n v="3"/>
    <n v="3"/>
    <n v="7"/>
    <n v="7"/>
    <n v="0"/>
    <n v="2"/>
    <n v="0"/>
    <x v="2"/>
    <x v="2"/>
    <x v="0"/>
    <x v="2"/>
    <x v="1"/>
  </r>
  <r>
    <x v="25"/>
    <x v="0"/>
    <x v="0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x v="0"/>
    <n v="11"/>
    <n v="3"/>
    <n v="3"/>
    <n v="0"/>
    <n v="6"/>
    <n v="3"/>
    <n v="3"/>
    <n v="5"/>
    <n v="1"/>
    <n v="1"/>
    <n v="4"/>
    <n v="1"/>
    <x v="2"/>
    <x v="1"/>
    <x v="2"/>
    <x v="1"/>
    <x v="1"/>
  </r>
  <r>
    <x v="21"/>
    <x v="0"/>
    <x v="0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x v="1"/>
    <n v="22"/>
    <n v="4"/>
    <n v="4"/>
    <n v="1"/>
    <n v="13"/>
    <n v="2"/>
    <n v="4"/>
    <n v="9"/>
    <n v="7"/>
    <n v="3"/>
    <n v="7"/>
    <n v="1"/>
    <x v="1"/>
    <x v="2"/>
    <x v="0"/>
    <x v="1"/>
    <x v="3"/>
  </r>
  <r>
    <x v="32"/>
    <x v="1"/>
    <x v="0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x v="1"/>
    <n v="17"/>
    <n v="3"/>
    <n v="4"/>
    <n v="1"/>
    <n v="12"/>
    <n v="3"/>
    <n v="3"/>
    <n v="5"/>
    <n v="3"/>
    <n v="0"/>
    <n v="3"/>
    <n v="0"/>
    <x v="0"/>
    <x v="2"/>
    <x v="2"/>
    <x v="0"/>
    <x v="1"/>
  </r>
  <r>
    <x v="13"/>
    <x v="1"/>
    <x v="0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x v="1"/>
    <n v="21"/>
    <n v="4"/>
    <n v="3"/>
    <n v="2"/>
    <n v="10"/>
    <n v="5"/>
    <n v="3"/>
    <n v="10"/>
    <n v="8"/>
    <n v="4"/>
    <n v="8"/>
    <n v="0"/>
    <x v="2"/>
    <x v="2"/>
    <x v="0"/>
    <x v="2"/>
    <x v="1"/>
  </r>
  <r>
    <x v="34"/>
    <x v="1"/>
    <x v="2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  <n v="0"/>
    <x v="3"/>
    <x v="3"/>
    <x v="3"/>
    <x v="1"/>
    <x v="2"/>
  </r>
  <r>
    <x v="10"/>
    <x v="1"/>
    <x v="0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x v="1"/>
    <n v="16"/>
    <n v="3"/>
    <n v="2"/>
    <n v="1"/>
    <n v="6"/>
    <n v="2"/>
    <n v="4"/>
    <n v="5"/>
    <n v="4"/>
    <n v="0"/>
    <n v="3"/>
    <n v="0"/>
    <x v="2"/>
    <x v="1"/>
    <x v="2"/>
    <x v="2"/>
    <x v="3"/>
  </r>
  <r>
    <x v="40"/>
    <x v="1"/>
    <x v="0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  <n v="0"/>
    <x v="1"/>
    <x v="3"/>
    <x v="3"/>
    <x v="1"/>
    <x v="1"/>
  </r>
  <r>
    <x v="32"/>
    <x v="1"/>
    <x v="0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x v="1"/>
    <n v="12"/>
    <n v="3"/>
    <n v="2"/>
    <n v="1"/>
    <n v="15"/>
    <n v="3"/>
    <n v="3"/>
    <n v="7"/>
    <n v="4"/>
    <n v="7"/>
    <n v="7"/>
    <n v="0"/>
    <x v="0"/>
    <x v="0"/>
    <x v="0"/>
    <x v="3"/>
    <x v="1"/>
  </r>
  <r>
    <x v="33"/>
    <x v="1"/>
    <x v="0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x v="1"/>
    <n v="15"/>
    <n v="3"/>
    <n v="2"/>
    <n v="1"/>
    <n v="14"/>
    <n v="2"/>
    <n v="2"/>
    <n v="7"/>
    <n v="1"/>
    <n v="1"/>
    <n v="7"/>
    <n v="0"/>
    <x v="1"/>
    <x v="2"/>
    <x v="0"/>
    <x v="0"/>
    <x v="2"/>
  </r>
  <r>
    <x v="12"/>
    <x v="1"/>
    <x v="1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x v="1"/>
    <n v="14"/>
    <n v="3"/>
    <n v="4"/>
    <n v="2"/>
    <n v="9"/>
    <n v="3"/>
    <n v="3"/>
    <n v="3"/>
    <n v="2"/>
    <n v="2"/>
    <n v="2"/>
    <n v="0"/>
    <x v="2"/>
    <x v="2"/>
    <x v="2"/>
    <x v="3"/>
    <x v="1"/>
  </r>
  <r>
    <x v="14"/>
    <x v="1"/>
    <x v="0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x v="1"/>
    <n v="25"/>
    <n v="4"/>
    <n v="3"/>
    <n v="1"/>
    <n v="3"/>
    <n v="3"/>
    <n v="3"/>
    <n v="3"/>
    <n v="2"/>
    <n v="1"/>
    <n v="2"/>
    <n v="0"/>
    <x v="2"/>
    <x v="0"/>
    <x v="2"/>
    <x v="3"/>
    <x v="1"/>
  </r>
  <r>
    <x v="8"/>
    <x v="1"/>
    <x v="0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x v="0"/>
    <n v="20"/>
    <n v="4"/>
    <n v="1"/>
    <n v="2"/>
    <n v="20"/>
    <n v="4"/>
    <n v="2"/>
    <n v="4"/>
    <n v="2"/>
    <n v="0"/>
    <n v="3"/>
    <n v="0"/>
    <x v="0"/>
    <x v="0"/>
    <x v="2"/>
    <x v="0"/>
    <x v="2"/>
  </r>
  <r>
    <x v="25"/>
    <x v="1"/>
    <x v="0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x v="1"/>
    <n v="13"/>
    <n v="3"/>
    <n v="1"/>
    <n v="0"/>
    <n v="5"/>
    <n v="4"/>
    <n v="3"/>
    <n v="5"/>
    <n v="3"/>
    <n v="1"/>
    <n v="2"/>
    <n v="0"/>
    <x v="2"/>
    <x v="0"/>
    <x v="2"/>
    <x v="0"/>
    <x v="1"/>
  </r>
  <r>
    <x v="34"/>
    <x v="1"/>
    <x v="1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x v="0"/>
    <n v="14"/>
    <n v="3"/>
    <n v="2"/>
    <n v="0"/>
    <n v="23"/>
    <n v="3"/>
    <n v="3"/>
    <n v="2"/>
    <n v="2"/>
    <n v="2"/>
    <n v="2"/>
    <n v="0"/>
    <x v="3"/>
    <x v="3"/>
    <x v="2"/>
    <x v="2"/>
    <x v="1"/>
  </r>
  <r>
    <x v="41"/>
    <x v="1"/>
    <x v="2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x v="1"/>
    <n v="16"/>
    <n v="3"/>
    <n v="3"/>
    <n v="0"/>
    <n v="0"/>
    <n v="4"/>
    <n v="1"/>
    <n v="0"/>
    <n v="0"/>
    <n v="0"/>
    <n v="0"/>
    <n v="0"/>
    <x v="4"/>
    <x v="1"/>
    <x v="1"/>
    <x v="2"/>
    <x v="0"/>
  </r>
  <r>
    <x v="12"/>
    <x v="0"/>
    <x v="0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x v="1"/>
    <n v="17"/>
    <n v="3"/>
    <n v="3"/>
    <n v="0"/>
    <n v="2"/>
    <n v="4"/>
    <n v="3"/>
    <n v="1"/>
    <n v="0"/>
    <n v="0"/>
    <n v="0"/>
    <n v="1"/>
    <x v="2"/>
    <x v="1"/>
    <x v="1"/>
    <x v="3"/>
    <x v="1"/>
  </r>
  <r>
    <x v="11"/>
    <x v="0"/>
    <x v="0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x v="0"/>
    <n v="15"/>
    <n v="3"/>
    <n v="4"/>
    <n v="3"/>
    <n v="4"/>
    <n v="3"/>
    <n v="3"/>
    <n v="2"/>
    <n v="2"/>
    <n v="2"/>
    <n v="0"/>
    <n v="1"/>
    <x v="2"/>
    <x v="1"/>
    <x v="2"/>
    <x v="3"/>
    <x v="1"/>
  </r>
  <r>
    <x v="28"/>
    <x v="1"/>
    <x v="2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x v="1"/>
    <n v="22"/>
    <n v="4"/>
    <n v="2"/>
    <n v="2"/>
    <n v="10"/>
    <n v="3"/>
    <n v="4"/>
    <n v="8"/>
    <n v="7"/>
    <n v="5"/>
    <n v="7"/>
    <n v="0"/>
    <x v="0"/>
    <x v="0"/>
    <x v="0"/>
    <x v="2"/>
    <x v="3"/>
  </r>
  <r>
    <x v="9"/>
    <x v="1"/>
    <x v="0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x v="0"/>
    <n v="22"/>
    <n v="4"/>
    <n v="4"/>
    <n v="1"/>
    <n v="15"/>
    <n v="2"/>
    <n v="3"/>
    <n v="1"/>
    <n v="0"/>
    <n v="0"/>
    <n v="0"/>
    <n v="0"/>
    <x v="0"/>
    <x v="2"/>
    <x v="1"/>
    <x v="1"/>
    <x v="1"/>
  </r>
  <r>
    <x v="23"/>
    <x v="1"/>
    <x v="1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x v="1"/>
    <n v="20"/>
    <n v="4"/>
    <n v="3"/>
    <n v="1"/>
    <n v="7"/>
    <n v="5"/>
    <n v="3"/>
    <n v="7"/>
    <n v="7"/>
    <n v="7"/>
    <n v="7"/>
    <n v="0"/>
    <x v="0"/>
    <x v="0"/>
    <x v="0"/>
    <x v="0"/>
    <x v="1"/>
  </r>
  <r>
    <x v="4"/>
    <x v="1"/>
    <x v="1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x v="0"/>
    <n v="14"/>
    <n v="3"/>
    <n v="3"/>
    <n v="0"/>
    <n v="6"/>
    <n v="3"/>
    <n v="2"/>
    <n v="5"/>
    <n v="4"/>
    <n v="0"/>
    <n v="2"/>
    <n v="0"/>
    <x v="2"/>
    <x v="1"/>
    <x v="2"/>
    <x v="0"/>
    <x v="2"/>
  </r>
  <r>
    <x v="11"/>
    <x v="1"/>
    <x v="1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x v="1"/>
    <n v="13"/>
    <n v="3"/>
    <n v="2"/>
    <n v="0"/>
    <n v="11"/>
    <n v="3"/>
    <n v="4"/>
    <n v="11"/>
    <n v="8"/>
    <n v="3"/>
    <n v="10"/>
    <n v="0"/>
    <x v="2"/>
    <x v="0"/>
    <x v="3"/>
    <x v="0"/>
    <x v="3"/>
  </r>
  <r>
    <x v="5"/>
    <x v="1"/>
    <x v="1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x v="1"/>
    <n v="13"/>
    <n v="3"/>
    <n v="3"/>
    <n v="0"/>
    <n v="4"/>
    <n v="2"/>
    <n v="4"/>
    <n v="0"/>
    <n v="0"/>
    <n v="0"/>
    <n v="0"/>
    <n v="0"/>
    <x v="2"/>
    <x v="0"/>
    <x v="1"/>
    <x v="0"/>
    <x v="3"/>
  </r>
  <r>
    <x v="19"/>
    <x v="1"/>
    <x v="2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x v="1"/>
    <n v="22"/>
    <n v="4"/>
    <n v="2"/>
    <n v="2"/>
    <n v="10"/>
    <n v="1"/>
    <n v="2"/>
    <n v="6"/>
    <n v="3"/>
    <n v="3"/>
    <n v="3"/>
    <n v="0"/>
    <x v="0"/>
    <x v="1"/>
    <x v="0"/>
    <x v="2"/>
    <x v="2"/>
  </r>
  <r>
    <x v="40"/>
    <x v="1"/>
    <x v="0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x v="1"/>
    <n v="12"/>
    <n v="3"/>
    <n v="3"/>
    <n v="0"/>
    <n v="7"/>
    <n v="2"/>
    <n v="3"/>
    <n v="2"/>
    <n v="2"/>
    <n v="2"/>
    <n v="0"/>
    <n v="0"/>
    <x v="1"/>
    <x v="1"/>
    <x v="2"/>
    <x v="2"/>
    <x v="1"/>
  </r>
  <r>
    <x v="21"/>
    <x v="1"/>
    <x v="0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x v="1"/>
    <n v="14"/>
    <n v="3"/>
    <n v="3"/>
    <n v="1"/>
    <n v="12"/>
    <n v="4"/>
    <n v="2"/>
    <n v="9"/>
    <n v="8"/>
    <n v="4"/>
    <n v="7"/>
    <n v="0"/>
    <x v="1"/>
    <x v="2"/>
    <x v="0"/>
    <x v="0"/>
    <x v="2"/>
  </r>
  <r>
    <x v="14"/>
    <x v="1"/>
    <x v="2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x v="1"/>
    <n v="15"/>
    <n v="3"/>
    <n v="2"/>
    <n v="1"/>
    <n v="3"/>
    <n v="2"/>
    <n v="3"/>
    <n v="3"/>
    <n v="2"/>
    <n v="2"/>
    <n v="2"/>
    <n v="0"/>
    <x v="2"/>
    <x v="1"/>
    <x v="2"/>
    <x v="0"/>
    <x v="1"/>
  </r>
  <r>
    <x v="11"/>
    <x v="1"/>
    <x v="0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x v="1"/>
    <n v="17"/>
    <n v="3"/>
    <n v="4"/>
    <n v="2"/>
    <n v="11"/>
    <n v="3"/>
    <n v="3"/>
    <n v="7"/>
    <n v="0"/>
    <n v="1"/>
    <n v="6"/>
    <n v="0"/>
    <x v="2"/>
    <x v="2"/>
    <x v="0"/>
    <x v="2"/>
    <x v="1"/>
  </r>
  <r>
    <x v="19"/>
    <x v="1"/>
    <x v="0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x v="1"/>
    <n v="13"/>
    <n v="3"/>
    <n v="4"/>
    <n v="0"/>
    <n v="8"/>
    <n v="3"/>
    <n v="3"/>
    <n v="0"/>
    <n v="0"/>
    <n v="0"/>
    <n v="0"/>
    <n v="0"/>
    <x v="0"/>
    <x v="0"/>
    <x v="1"/>
    <x v="2"/>
    <x v="1"/>
  </r>
  <r>
    <x v="5"/>
    <x v="0"/>
    <x v="0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x v="0"/>
    <n v="12"/>
    <n v="3"/>
    <n v="3"/>
    <n v="0"/>
    <n v="7"/>
    <n v="3"/>
    <n v="2"/>
    <n v="2"/>
    <n v="2"/>
    <n v="2"/>
    <n v="2"/>
    <n v="1"/>
    <x v="2"/>
    <x v="2"/>
    <x v="2"/>
    <x v="1"/>
    <x v="2"/>
  </r>
  <r>
    <x v="21"/>
    <x v="1"/>
    <x v="0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x v="1"/>
    <n v="12"/>
    <n v="3"/>
    <n v="4"/>
    <n v="1"/>
    <n v="25"/>
    <n v="5"/>
    <n v="3"/>
    <n v="19"/>
    <n v="17"/>
    <n v="2"/>
    <n v="8"/>
    <n v="0"/>
    <x v="1"/>
    <x v="3"/>
    <x v="3"/>
    <x v="3"/>
    <x v="1"/>
  </r>
  <r>
    <x v="4"/>
    <x v="1"/>
    <x v="0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x v="1"/>
    <n v="21"/>
    <n v="4"/>
    <n v="4"/>
    <n v="1"/>
    <n v="9"/>
    <n v="5"/>
    <n v="3"/>
    <n v="9"/>
    <n v="8"/>
    <n v="5"/>
    <n v="8"/>
    <n v="0"/>
    <x v="2"/>
    <x v="0"/>
    <x v="0"/>
    <x v="2"/>
    <x v="1"/>
  </r>
  <r>
    <x v="11"/>
    <x v="1"/>
    <x v="0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x v="1"/>
    <n v="11"/>
    <n v="3"/>
    <n v="4"/>
    <n v="0"/>
    <n v="1"/>
    <n v="3"/>
    <n v="3"/>
    <n v="1"/>
    <n v="0"/>
    <n v="0"/>
    <n v="0"/>
    <n v="0"/>
    <x v="2"/>
    <x v="1"/>
    <x v="1"/>
    <x v="1"/>
    <x v="1"/>
  </r>
  <r>
    <x v="23"/>
    <x v="1"/>
    <x v="0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  <n v="0"/>
    <x v="0"/>
    <x v="3"/>
    <x v="3"/>
    <x v="2"/>
    <x v="1"/>
  </r>
  <r>
    <x v="26"/>
    <x v="1"/>
    <x v="0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  <n v="0"/>
    <x v="1"/>
    <x v="3"/>
    <x v="3"/>
    <x v="1"/>
    <x v="1"/>
  </r>
  <r>
    <x v="11"/>
    <x v="0"/>
    <x v="1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x v="0"/>
    <n v="24"/>
    <n v="4"/>
    <n v="2"/>
    <n v="0"/>
    <n v="1"/>
    <n v="3"/>
    <n v="2"/>
    <n v="1"/>
    <n v="0"/>
    <n v="1"/>
    <n v="0"/>
    <n v="1"/>
    <x v="2"/>
    <x v="1"/>
    <x v="1"/>
    <x v="0"/>
    <x v="2"/>
  </r>
  <r>
    <x v="21"/>
    <x v="0"/>
    <x v="0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x v="1"/>
    <n v="21"/>
    <n v="4"/>
    <n v="3"/>
    <n v="3"/>
    <n v="14"/>
    <n v="2"/>
    <n v="3"/>
    <n v="8"/>
    <n v="7"/>
    <n v="0"/>
    <n v="7"/>
    <n v="1"/>
    <x v="1"/>
    <x v="2"/>
    <x v="0"/>
    <x v="1"/>
    <x v="1"/>
  </r>
  <r>
    <x v="4"/>
    <x v="1"/>
    <x v="1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x v="1"/>
    <n v="19"/>
    <n v="3"/>
    <n v="4"/>
    <n v="1"/>
    <n v="8"/>
    <n v="2"/>
    <n v="2"/>
    <n v="7"/>
    <n v="6"/>
    <n v="7"/>
    <n v="3"/>
    <n v="0"/>
    <x v="2"/>
    <x v="0"/>
    <x v="0"/>
    <x v="3"/>
    <x v="2"/>
  </r>
  <r>
    <x v="22"/>
    <x v="1"/>
    <x v="0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x v="1"/>
    <n v="14"/>
    <n v="3"/>
    <n v="2"/>
    <n v="3"/>
    <n v="7"/>
    <n v="2"/>
    <n v="3"/>
    <n v="2"/>
    <n v="2"/>
    <n v="2"/>
    <n v="2"/>
    <n v="0"/>
    <x v="0"/>
    <x v="0"/>
    <x v="2"/>
    <x v="0"/>
    <x v="1"/>
  </r>
  <r>
    <x v="27"/>
    <x v="1"/>
    <x v="0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x v="1"/>
    <n v="20"/>
    <n v="4"/>
    <n v="2"/>
    <n v="1"/>
    <n v="19"/>
    <n v="2"/>
    <n v="4"/>
    <n v="5"/>
    <n v="2"/>
    <n v="0"/>
    <n v="4"/>
    <n v="0"/>
    <x v="1"/>
    <x v="1"/>
    <x v="2"/>
    <x v="0"/>
    <x v="3"/>
  </r>
  <r>
    <x v="14"/>
    <x v="1"/>
    <x v="0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x v="1"/>
    <n v="19"/>
    <n v="3"/>
    <n v="4"/>
    <n v="1"/>
    <n v="1"/>
    <n v="3"/>
    <n v="3"/>
    <n v="1"/>
    <n v="0"/>
    <n v="0"/>
    <n v="0"/>
    <n v="0"/>
    <x v="2"/>
    <x v="1"/>
    <x v="1"/>
    <x v="1"/>
    <x v="1"/>
  </r>
  <r>
    <x v="7"/>
    <x v="0"/>
    <x v="0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x v="1"/>
    <n v="13"/>
    <n v="3"/>
    <n v="3"/>
    <n v="0"/>
    <n v="1"/>
    <n v="3"/>
    <n v="2"/>
    <n v="1"/>
    <n v="0"/>
    <n v="0"/>
    <n v="0"/>
    <n v="1"/>
    <x v="2"/>
    <x v="1"/>
    <x v="1"/>
    <x v="0"/>
    <x v="2"/>
  </r>
  <r>
    <x v="15"/>
    <x v="0"/>
    <x v="0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x v="0"/>
    <n v="23"/>
    <n v="4"/>
    <n v="1"/>
    <n v="0"/>
    <n v="1"/>
    <n v="2"/>
    <n v="3"/>
    <n v="1"/>
    <n v="0"/>
    <n v="0"/>
    <n v="0"/>
    <n v="1"/>
    <x v="4"/>
    <x v="1"/>
    <x v="1"/>
    <x v="1"/>
    <x v="1"/>
  </r>
  <r>
    <x v="9"/>
    <x v="1"/>
    <x v="0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x v="0"/>
    <n v="13"/>
    <n v="3"/>
    <n v="1"/>
    <n v="1"/>
    <n v="10"/>
    <n v="4"/>
    <n v="3"/>
    <n v="10"/>
    <n v="9"/>
    <n v="1"/>
    <n v="7"/>
    <n v="0"/>
    <x v="0"/>
    <x v="0"/>
    <x v="0"/>
    <x v="2"/>
    <x v="1"/>
  </r>
  <r>
    <x v="12"/>
    <x v="1"/>
    <x v="0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x v="1"/>
    <n v="11"/>
    <n v="3"/>
    <n v="1"/>
    <n v="1"/>
    <n v="10"/>
    <n v="2"/>
    <n v="3"/>
    <n v="10"/>
    <n v="8"/>
    <n v="0"/>
    <n v="2"/>
    <n v="0"/>
    <x v="2"/>
    <x v="0"/>
    <x v="0"/>
    <x v="2"/>
    <x v="1"/>
  </r>
  <r>
    <x v="13"/>
    <x v="1"/>
    <x v="0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x v="0"/>
    <n v="13"/>
    <n v="3"/>
    <n v="4"/>
    <n v="3"/>
    <n v="9"/>
    <n v="3"/>
    <n v="3"/>
    <n v="5"/>
    <n v="3"/>
    <n v="1"/>
    <n v="0"/>
    <n v="0"/>
    <x v="2"/>
    <x v="2"/>
    <x v="2"/>
    <x v="0"/>
    <x v="1"/>
  </r>
  <r>
    <x v="11"/>
    <x v="1"/>
    <x v="0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x v="1"/>
    <n v="14"/>
    <n v="3"/>
    <n v="2"/>
    <n v="0"/>
    <n v="11"/>
    <n v="2"/>
    <n v="3"/>
    <n v="3"/>
    <n v="2"/>
    <n v="1"/>
    <n v="2"/>
    <n v="0"/>
    <x v="2"/>
    <x v="1"/>
    <x v="2"/>
    <x v="3"/>
    <x v="1"/>
  </r>
  <r>
    <x v="2"/>
    <x v="1"/>
    <x v="0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x v="0"/>
    <n v="22"/>
    <n v="4"/>
    <n v="3"/>
    <n v="1"/>
    <n v="16"/>
    <n v="2"/>
    <n v="3"/>
    <n v="5"/>
    <n v="3"/>
    <n v="0"/>
    <n v="4"/>
    <n v="0"/>
    <x v="0"/>
    <x v="0"/>
    <x v="2"/>
    <x v="3"/>
    <x v="1"/>
  </r>
  <r>
    <x v="10"/>
    <x v="1"/>
    <x v="0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x v="0"/>
    <n v="11"/>
    <n v="3"/>
    <n v="4"/>
    <n v="0"/>
    <n v="4"/>
    <n v="2"/>
    <n v="3"/>
    <n v="3"/>
    <n v="2"/>
    <n v="0"/>
    <n v="2"/>
    <n v="0"/>
    <x v="2"/>
    <x v="0"/>
    <x v="2"/>
    <x v="1"/>
    <x v="1"/>
  </r>
  <r>
    <x v="28"/>
    <x v="1"/>
    <x v="0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x v="1"/>
    <n v="13"/>
    <n v="3"/>
    <n v="4"/>
    <n v="2"/>
    <n v="10"/>
    <n v="2"/>
    <n v="2"/>
    <n v="9"/>
    <n v="8"/>
    <n v="3"/>
    <n v="8"/>
    <n v="0"/>
    <x v="0"/>
    <x v="0"/>
    <x v="0"/>
    <x v="0"/>
    <x v="2"/>
  </r>
  <r>
    <x v="9"/>
    <x v="1"/>
    <x v="1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x v="1"/>
    <n v="21"/>
    <n v="4"/>
    <n v="4"/>
    <n v="0"/>
    <n v="10"/>
    <n v="2"/>
    <n v="2"/>
    <n v="10"/>
    <n v="1"/>
    <n v="0"/>
    <n v="8"/>
    <n v="0"/>
    <x v="0"/>
    <x v="0"/>
    <x v="0"/>
    <x v="0"/>
    <x v="2"/>
  </r>
  <r>
    <x v="32"/>
    <x v="1"/>
    <x v="0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  <n v="0"/>
    <x v="0"/>
    <x v="3"/>
    <x v="3"/>
    <x v="3"/>
    <x v="1"/>
  </r>
  <r>
    <x v="25"/>
    <x v="1"/>
    <x v="0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x v="0"/>
    <n v="13"/>
    <n v="3"/>
    <n v="3"/>
    <n v="1"/>
    <n v="1"/>
    <n v="3"/>
    <n v="2"/>
    <n v="1"/>
    <n v="0"/>
    <n v="1"/>
    <n v="0"/>
    <n v="0"/>
    <x v="2"/>
    <x v="1"/>
    <x v="1"/>
    <x v="2"/>
    <x v="2"/>
  </r>
  <r>
    <x v="4"/>
    <x v="1"/>
    <x v="0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x v="1"/>
    <n v="14"/>
    <n v="3"/>
    <n v="2"/>
    <n v="0"/>
    <n v="9"/>
    <n v="5"/>
    <n v="2"/>
    <n v="8"/>
    <n v="7"/>
    <n v="0"/>
    <n v="7"/>
    <n v="0"/>
    <x v="2"/>
    <x v="2"/>
    <x v="0"/>
    <x v="2"/>
    <x v="2"/>
  </r>
  <r>
    <x v="26"/>
    <x v="1"/>
    <x v="1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x v="1"/>
    <n v="11"/>
    <n v="3"/>
    <n v="2"/>
    <n v="1"/>
    <n v="24"/>
    <n v="3"/>
    <n v="3"/>
    <n v="22"/>
    <n v="17"/>
    <n v="4"/>
    <n v="7"/>
    <n v="0"/>
    <x v="1"/>
    <x v="3"/>
    <x v="3"/>
    <x v="0"/>
    <x v="1"/>
  </r>
  <r>
    <x v="20"/>
    <x v="1"/>
    <x v="0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x v="1"/>
    <n v="15"/>
    <n v="3"/>
    <n v="4"/>
    <n v="1"/>
    <n v="10"/>
    <n v="5"/>
    <n v="3"/>
    <n v="2"/>
    <n v="0"/>
    <n v="2"/>
    <n v="2"/>
    <n v="0"/>
    <x v="0"/>
    <x v="0"/>
    <x v="2"/>
    <x v="3"/>
    <x v="1"/>
  </r>
  <r>
    <x v="13"/>
    <x v="0"/>
    <x v="2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x v="0"/>
    <n v="23"/>
    <n v="4"/>
    <n v="2"/>
    <n v="1"/>
    <n v="5"/>
    <n v="2"/>
    <n v="3"/>
    <n v="5"/>
    <n v="2"/>
    <n v="3"/>
    <n v="0"/>
    <n v="1"/>
    <x v="2"/>
    <x v="1"/>
    <x v="2"/>
    <x v="3"/>
    <x v="1"/>
  </r>
  <r>
    <x v="29"/>
    <x v="0"/>
    <x v="0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x v="1"/>
    <n v="16"/>
    <n v="3"/>
    <n v="4"/>
    <n v="0"/>
    <n v="5"/>
    <n v="3"/>
    <n v="3"/>
    <n v="4"/>
    <n v="2"/>
    <n v="1"/>
    <n v="0"/>
    <n v="1"/>
    <x v="3"/>
    <x v="1"/>
    <x v="2"/>
    <x v="0"/>
    <x v="1"/>
  </r>
  <r>
    <x v="9"/>
    <x v="1"/>
    <x v="0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x v="1"/>
    <n v="16"/>
    <n v="3"/>
    <n v="3"/>
    <n v="2"/>
    <n v="12"/>
    <n v="1"/>
    <n v="1"/>
    <n v="4"/>
    <n v="2"/>
    <n v="1"/>
    <n v="3"/>
    <n v="0"/>
    <x v="0"/>
    <x v="0"/>
    <x v="2"/>
    <x v="1"/>
    <x v="0"/>
  </r>
  <r>
    <x v="0"/>
    <x v="1"/>
    <x v="0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x v="1"/>
    <n v="21"/>
    <n v="4"/>
    <n v="3"/>
    <n v="1"/>
    <n v="14"/>
    <n v="3"/>
    <n v="3"/>
    <n v="5"/>
    <n v="4"/>
    <n v="1"/>
    <n v="4"/>
    <n v="0"/>
    <x v="0"/>
    <x v="0"/>
    <x v="2"/>
    <x v="1"/>
    <x v="1"/>
  </r>
  <r>
    <x v="19"/>
    <x v="1"/>
    <x v="0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x v="1"/>
    <n v="13"/>
    <n v="3"/>
    <n v="2"/>
    <n v="1"/>
    <n v="18"/>
    <n v="3"/>
    <n v="4"/>
    <n v="13"/>
    <n v="7"/>
    <n v="5"/>
    <n v="7"/>
    <n v="0"/>
    <x v="0"/>
    <x v="3"/>
    <x v="3"/>
    <x v="3"/>
    <x v="3"/>
  </r>
  <r>
    <x v="12"/>
    <x v="1"/>
    <x v="0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x v="0"/>
    <n v="11"/>
    <n v="3"/>
    <n v="4"/>
    <n v="1"/>
    <n v="8"/>
    <n v="2"/>
    <n v="3"/>
    <n v="5"/>
    <n v="2"/>
    <n v="1"/>
    <n v="4"/>
    <n v="0"/>
    <x v="2"/>
    <x v="2"/>
    <x v="2"/>
    <x v="0"/>
    <x v="1"/>
  </r>
  <r>
    <x v="13"/>
    <x v="1"/>
    <x v="0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x v="0"/>
    <n v="12"/>
    <n v="3"/>
    <n v="3"/>
    <n v="0"/>
    <n v="9"/>
    <n v="3"/>
    <n v="2"/>
    <n v="4"/>
    <n v="2"/>
    <n v="0"/>
    <n v="1"/>
    <n v="0"/>
    <x v="2"/>
    <x v="2"/>
    <x v="2"/>
    <x v="0"/>
    <x v="2"/>
  </r>
  <r>
    <x v="12"/>
    <x v="1"/>
    <x v="0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x v="1"/>
    <n v="12"/>
    <n v="3"/>
    <n v="2"/>
    <n v="1"/>
    <n v="4"/>
    <n v="0"/>
    <n v="2"/>
    <n v="2"/>
    <n v="2"/>
    <n v="2"/>
    <n v="2"/>
    <n v="0"/>
    <x v="2"/>
    <x v="0"/>
    <x v="2"/>
    <x v="2"/>
    <x v="2"/>
  </r>
  <r>
    <x v="25"/>
    <x v="1"/>
    <x v="1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x v="1"/>
    <n v="18"/>
    <n v="3"/>
    <n v="1"/>
    <n v="1"/>
    <n v="8"/>
    <n v="3"/>
    <n v="3"/>
    <n v="7"/>
    <n v="7"/>
    <n v="7"/>
    <n v="7"/>
    <n v="0"/>
    <x v="2"/>
    <x v="1"/>
    <x v="0"/>
    <x v="0"/>
    <x v="1"/>
  </r>
  <r>
    <x v="28"/>
    <x v="1"/>
    <x v="1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x v="1"/>
    <n v="12"/>
    <n v="3"/>
    <n v="3"/>
    <n v="0"/>
    <n v="12"/>
    <n v="3"/>
    <n v="3"/>
    <n v="4"/>
    <n v="2"/>
    <n v="0"/>
    <n v="3"/>
    <n v="0"/>
    <x v="0"/>
    <x v="0"/>
    <x v="2"/>
    <x v="2"/>
    <x v="1"/>
  </r>
  <r>
    <x v="3"/>
    <x v="1"/>
    <x v="0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x v="1"/>
    <n v="14"/>
    <n v="3"/>
    <n v="2"/>
    <n v="0"/>
    <n v="10"/>
    <n v="2"/>
    <n v="2"/>
    <n v="10"/>
    <n v="4"/>
    <n v="0"/>
    <n v="9"/>
    <n v="0"/>
    <x v="2"/>
    <x v="0"/>
    <x v="0"/>
    <x v="2"/>
    <x v="2"/>
  </r>
  <r>
    <x v="14"/>
    <x v="1"/>
    <x v="1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x v="0"/>
    <n v="12"/>
    <n v="3"/>
    <n v="3"/>
    <n v="1"/>
    <n v="7"/>
    <n v="2"/>
    <n v="3"/>
    <n v="7"/>
    <n v="7"/>
    <n v="0"/>
    <n v="7"/>
    <n v="0"/>
    <x v="2"/>
    <x v="2"/>
    <x v="0"/>
    <x v="0"/>
    <x v="1"/>
  </r>
  <r>
    <x v="11"/>
    <x v="0"/>
    <x v="1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x v="1"/>
    <n v="17"/>
    <n v="3"/>
    <n v="4"/>
    <n v="0"/>
    <n v="1"/>
    <n v="3"/>
    <n v="3"/>
    <n v="1"/>
    <n v="0"/>
    <n v="0"/>
    <n v="0"/>
    <n v="1"/>
    <x v="2"/>
    <x v="1"/>
    <x v="1"/>
    <x v="3"/>
    <x v="1"/>
  </r>
  <r>
    <x v="22"/>
    <x v="1"/>
    <x v="2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x v="1"/>
    <n v="19"/>
    <n v="3"/>
    <n v="3"/>
    <n v="1"/>
    <n v="10"/>
    <n v="1"/>
    <n v="3"/>
    <n v="3"/>
    <n v="2"/>
    <n v="1"/>
    <n v="2"/>
    <n v="0"/>
    <x v="0"/>
    <x v="0"/>
    <x v="2"/>
    <x v="2"/>
    <x v="1"/>
  </r>
  <r>
    <x v="4"/>
    <x v="1"/>
    <x v="0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x v="1"/>
    <n v="11"/>
    <n v="3"/>
    <n v="3"/>
    <n v="1"/>
    <n v="6"/>
    <n v="3"/>
    <n v="2"/>
    <n v="5"/>
    <n v="3"/>
    <n v="1"/>
    <n v="2"/>
    <n v="0"/>
    <x v="2"/>
    <x v="1"/>
    <x v="2"/>
    <x v="1"/>
    <x v="2"/>
  </r>
  <r>
    <x v="13"/>
    <x v="1"/>
    <x v="1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x v="0"/>
    <n v="15"/>
    <n v="3"/>
    <n v="2"/>
    <n v="0"/>
    <n v="16"/>
    <n v="3"/>
    <n v="3"/>
    <n v="15"/>
    <n v="10"/>
    <n v="6"/>
    <n v="11"/>
    <n v="0"/>
    <x v="2"/>
    <x v="0"/>
    <x v="3"/>
    <x v="0"/>
    <x v="1"/>
  </r>
  <r>
    <x v="14"/>
    <x v="0"/>
    <x v="0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x v="0"/>
    <n v="11"/>
    <n v="3"/>
    <n v="4"/>
    <n v="0"/>
    <n v="6"/>
    <n v="0"/>
    <n v="3"/>
    <n v="2"/>
    <n v="0"/>
    <n v="2"/>
    <n v="2"/>
    <n v="1"/>
    <x v="2"/>
    <x v="2"/>
    <x v="2"/>
    <x v="2"/>
    <x v="1"/>
  </r>
  <r>
    <x v="40"/>
    <x v="1"/>
    <x v="2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x v="1"/>
    <n v="18"/>
    <n v="3"/>
    <n v="3"/>
    <n v="1"/>
    <n v="16"/>
    <n v="4"/>
    <n v="4"/>
    <n v="8"/>
    <n v="7"/>
    <n v="1"/>
    <n v="7"/>
    <n v="0"/>
    <x v="1"/>
    <x v="0"/>
    <x v="0"/>
    <x v="1"/>
    <x v="3"/>
  </r>
  <r>
    <x v="29"/>
    <x v="1"/>
    <x v="0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x v="1"/>
    <n v="16"/>
    <n v="3"/>
    <n v="3"/>
    <n v="1"/>
    <n v="6"/>
    <n v="3"/>
    <n v="3"/>
    <n v="0"/>
    <n v="0"/>
    <n v="0"/>
    <n v="0"/>
    <n v="0"/>
    <x v="3"/>
    <x v="0"/>
    <x v="1"/>
    <x v="3"/>
    <x v="1"/>
  </r>
  <r>
    <x v="22"/>
    <x v="1"/>
    <x v="0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x v="1"/>
    <n v="25"/>
    <n v="4"/>
    <n v="4"/>
    <n v="1"/>
    <n v="10"/>
    <n v="3"/>
    <n v="3"/>
    <n v="10"/>
    <n v="0"/>
    <n v="7"/>
    <n v="9"/>
    <n v="0"/>
    <x v="0"/>
    <x v="0"/>
    <x v="0"/>
    <x v="3"/>
    <x v="1"/>
  </r>
  <r>
    <x v="8"/>
    <x v="1"/>
    <x v="1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x v="0"/>
    <n v="16"/>
    <n v="3"/>
    <n v="3"/>
    <n v="1"/>
    <n v="20"/>
    <n v="3"/>
    <n v="3"/>
    <n v="20"/>
    <n v="11"/>
    <n v="0"/>
    <n v="7"/>
    <n v="0"/>
    <x v="0"/>
    <x v="1"/>
    <x v="3"/>
    <x v="1"/>
    <x v="1"/>
  </r>
  <r>
    <x v="34"/>
    <x v="1"/>
    <x v="0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x v="0"/>
    <n v="13"/>
    <n v="3"/>
    <n v="3"/>
    <n v="1"/>
    <n v="29"/>
    <n v="2"/>
    <n v="2"/>
    <n v="1"/>
    <n v="0"/>
    <n v="0"/>
    <n v="0"/>
    <n v="0"/>
    <x v="3"/>
    <x v="3"/>
    <x v="1"/>
    <x v="0"/>
    <x v="2"/>
  </r>
  <r>
    <x v="5"/>
    <x v="0"/>
    <x v="1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x v="0"/>
    <n v="14"/>
    <n v="3"/>
    <n v="1"/>
    <n v="0"/>
    <n v="8"/>
    <n v="2"/>
    <n v="3"/>
    <n v="4"/>
    <n v="1"/>
    <n v="0"/>
    <n v="3"/>
    <n v="1"/>
    <x v="2"/>
    <x v="1"/>
    <x v="2"/>
    <x v="2"/>
    <x v="1"/>
  </r>
  <r>
    <x v="8"/>
    <x v="1"/>
    <x v="0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x v="1"/>
    <n v="19"/>
    <n v="3"/>
    <n v="4"/>
    <n v="2"/>
    <n v="10"/>
    <n v="0"/>
    <n v="4"/>
    <n v="5"/>
    <n v="2"/>
    <n v="0"/>
    <n v="3"/>
    <n v="0"/>
    <x v="0"/>
    <x v="0"/>
    <x v="2"/>
    <x v="0"/>
    <x v="3"/>
  </r>
  <r>
    <x v="1"/>
    <x v="1"/>
    <x v="1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x v="1"/>
    <n v="15"/>
    <n v="3"/>
    <n v="4"/>
    <n v="0"/>
    <n v="28"/>
    <n v="3"/>
    <n v="3"/>
    <n v="5"/>
    <n v="4"/>
    <n v="4"/>
    <n v="3"/>
    <n v="0"/>
    <x v="1"/>
    <x v="3"/>
    <x v="2"/>
    <x v="0"/>
    <x v="1"/>
  </r>
  <r>
    <x v="19"/>
    <x v="1"/>
    <x v="0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x v="0"/>
    <n v="12"/>
    <n v="3"/>
    <n v="3"/>
    <n v="2"/>
    <n v="14"/>
    <n v="4"/>
    <n v="3"/>
    <n v="0"/>
    <n v="0"/>
    <n v="0"/>
    <n v="0"/>
    <n v="0"/>
    <x v="0"/>
    <x v="0"/>
    <x v="1"/>
    <x v="0"/>
    <x v="1"/>
  </r>
  <r>
    <x v="4"/>
    <x v="0"/>
    <x v="1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x v="1"/>
    <n v="12"/>
    <n v="3"/>
    <n v="1"/>
    <n v="0"/>
    <n v="1"/>
    <n v="2"/>
    <n v="3"/>
    <n v="1"/>
    <n v="0"/>
    <n v="0"/>
    <n v="0"/>
    <n v="1"/>
    <x v="2"/>
    <x v="1"/>
    <x v="1"/>
    <x v="1"/>
    <x v="1"/>
  </r>
  <r>
    <x v="10"/>
    <x v="1"/>
    <x v="0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x v="1"/>
    <n v="16"/>
    <n v="3"/>
    <n v="4"/>
    <n v="1"/>
    <n v="6"/>
    <n v="2"/>
    <n v="1"/>
    <n v="5"/>
    <n v="3"/>
    <n v="0"/>
    <n v="4"/>
    <n v="0"/>
    <x v="2"/>
    <x v="0"/>
    <x v="2"/>
    <x v="3"/>
    <x v="0"/>
  </r>
  <r>
    <x v="14"/>
    <x v="1"/>
    <x v="2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x v="1"/>
    <n v="14"/>
    <n v="3"/>
    <n v="3"/>
    <n v="0"/>
    <n v="5"/>
    <n v="3"/>
    <n v="2"/>
    <n v="5"/>
    <n v="3"/>
    <n v="1"/>
    <n v="4"/>
    <n v="0"/>
    <x v="2"/>
    <x v="1"/>
    <x v="2"/>
    <x v="2"/>
    <x v="2"/>
  </r>
  <r>
    <x v="12"/>
    <x v="1"/>
    <x v="2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x v="0"/>
    <n v="13"/>
    <n v="3"/>
    <n v="4"/>
    <n v="1"/>
    <n v="4"/>
    <n v="3"/>
    <n v="4"/>
    <n v="4"/>
    <n v="2"/>
    <n v="2"/>
    <n v="3"/>
    <n v="0"/>
    <x v="2"/>
    <x v="0"/>
    <x v="2"/>
    <x v="3"/>
    <x v="3"/>
  </r>
  <r>
    <x v="9"/>
    <x v="1"/>
    <x v="2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x v="1"/>
    <n v="22"/>
    <n v="4"/>
    <n v="2"/>
    <n v="0"/>
    <n v="5"/>
    <n v="3"/>
    <n v="3"/>
    <n v="5"/>
    <n v="4"/>
    <n v="0"/>
    <n v="2"/>
    <n v="0"/>
    <x v="0"/>
    <x v="1"/>
    <x v="2"/>
    <x v="1"/>
    <x v="1"/>
  </r>
  <r>
    <x v="13"/>
    <x v="1"/>
    <x v="0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x v="1"/>
    <n v="21"/>
    <n v="4"/>
    <n v="1"/>
    <n v="0"/>
    <n v="14"/>
    <n v="3"/>
    <n v="2"/>
    <n v="14"/>
    <n v="8"/>
    <n v="2"/>
    <n v="1"/>
    <n v="0"/>
    <x v="2"/>
    <x v="2"/>
    <x v="3"/>
    <x v="0"/>
    <x v="2"/>
  </r>
  <r>
    <x v="13"/>
    <x v="1"/>
    <x v="0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x v="1"/>
    <n v="18"/>
    <n v="3"/>
    <n v="3"/>
    <n v="1"/>
    <n v="9"/>
    <n v="2"/>
    <n v="2"/>
    <n v="8"/>
    <n v="7"/>
    <n v="1"/>
    <n v="1"/>
    <n v="0"/>
    <x v="2"/>
    <x v="2"/>
    <x v="0"/>
    <x v="2"/>
    <x v="2"/>
  </r>
  <r>
    <x v="25"/>
    <x v="1"/>
    <x v="0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x v="1"/>
    <n v="13"/>
    <n v="3"/>
    <n v="4"/>
    <n v="0"/>
    <n v="8"/>
    <n v="6"/>
    <n v="2"/>
    <n v="7"/>
    <n v="7"/>
    <n v="7"/>
    <n v="6"/>
    <n v="0"/>
    <x v="2"/>
    <x v="1"/>
    <x v="0"/>
    <x v="3"/>
    <x v="2"/>
  </r>
  <r>
    <x v="11"/>
    <x v="1"/>
    <x v="0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x v="1"/>
    <n v="12"/>
    <n v="3"/>
    <n v="1"/>
    <n v="1"/>
    <n v="6"/>
    <n v="5"/>
    <n v="2"/>
    <n v="5"/>
    <n v="3"/>
    <n v="0"/>
    <n v="2"/>
    <n v="0"/>
    <x v="2"/>
    <x v="0"/>
    <x v="2"/>
    <x v="3"/>
    <x v="2"/>
  </r>
  <r>
    <x v="5"/>
    <x v="1"/>
    <x v="2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x v="1"/>
    <n v="18"/>
    <n v="3"/>
    <n v="2"/>
    <n v="1"/>
    <n v="9"/>
    <n v="6"/>
    <n v="3"/>
    <n v="5"/>
    <n v="1"/>
    <n v="1"/>
    <n v="2"/>
    <n v="0"/>
    <x v="2"/>
    <x v="2"/>
    <x v="2"/>
    <x v="0"/>
    <x v="1"/>
  </r>
  <r>
    <x v="12"/>
    <x v="1"/>
    <x v="1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x v="1"/>
    <n v="21"/>
    <n v="4"/>
    <n v="2"/>
    <n v="0"/>
    <n v="10"/>
    <n v="6"/>
    <n v="3"/>
    <n v="10"/>
    <n v="8"/>
    <n v="8"/>
    <n v="7"/>
    <n v="0"/>
    <x v="2"/>
    <x v="0"/>
    <x v="0"/>
    <x v="3"/>
    <x v="1"/>
  </r>
  <r>
    <x v="14"/>
    <x v="0"/>
    <x v="0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x v="1"/>
    <n v="12"/>
    <n v="3"/>
    <n v="1"/>
    <n v="1"/>
    <n v="6"/>
    <n v="2"/>
    <n v="2"/>
    <n v="4"/>
    <n v="1"/>
    <n v="0"/>
    <n v="3"/>
    <n v="1"/>
    <x v="2"/>
    <x v="1"/>
    <x v="2"/>
    <x v="0"/>
    <x v="2"/>
  </r>
  <r>
    <x v="8"/>
    <x v="1"/>
    <x v="0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x v="1"/>
    <n v="14"/>
    <n v="3"/>
    <n v="1"/>
    <n v="0"/>
    <n v="20"/>
    <n v="3"/>
    <n v="2"/>
    <n v="1"/>
    <n v="0"/>
    <n v="0"/>
    <n v="0"/>
    <n v="0"/>
    <x v="0"/>
    <x v="1"/>
    <x v="1"/>
    <x v="3"/>
    <x v="2"/>
  </r>
  <r>
    <x v="10"/>
    <x v="1"/>
    <x v="0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x v="0"/>
    <n v="11"/>
    <n v="3"/>
    <n v="4"/>
    <n v="0"/>
    <n v="10"/>
    <n v="2"/>
    <n v="3"/>
    <n v="10"/>
    <n v="8"/>
    <n v="0"/>
    <n v="9"/>
    <n v="0"/>
    <x v="2"/>
    <x v="0"/>
    <x v="0"/>
    <x v="0"/>
    <x v="1"/>
  </r>
  <r>
    <x v="4"/>
    <x v="1"/>
    <x v="0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x v="1"/>
    <n v="14"/>
    <n v="3"/>
    <n v="1"/>
    <n v="0"/>
    <n v="7"/>
    <n v="5"/>
    <n v="3"/>
    <n v="7"/>
    <n v="7"/>
    <n v="0"/>
    <n v="7"/>
    <n v="0"/>
    <x v="2"/>
    <x v="0"/>
    <x v="0"/>
    <x v="0"/>
    <x v="1"/>
  </r>
  <r>
    <x v="5"/>
    <x v="1"/>
    <x v="0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x v="1"/>
    <n v="24"/>
    <n v="4"/>
    <n v="2"/>
    <n v="0"/>
    <n v="8"/>
    <n v="1"/>
    <n v="3"/>
    <n v="1"/>
    <n v="0"/>
    <n v="0"/>
    <n v="0"/>
    <n v="0"/>
    <x v="2"/>
    <x v="2"/>
    <x v="1"/>
    <x v="0"/>
    <x v="1"/>
  </r>
  <r>
    <x v="12"/>
    <x v="0"/>
    <x v="1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x v="0"/>
    <n v="11"/>
    <n v="3"/>
    <n v="3"/>
    <n v="0"/>
    <n v="10"/>
    <n v="4"/>
    <n v="3"/>
    <n v="10"/>
    <n v="7"/>
    <n v="0"/>
    <n v="8"/>
    <n v="1"/>
    <x v="2"/>
    <x v="0"/>
    <x v="0"/>
    <x v="0"/>
    <x v="1"/>
  </r>
  <r>
    <x v="16"/>
    <x v="0"/>
    <x v="0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x v="0"/>
    <n v="13"/>
    <n v="3"/>
    <n v="2"/>
    <n v="0"/>
    <n v="15"/>
    <n v="2"/>
    <n v="2"/>
    <n v="2"/>
    <n v="2"/>
    <n v="2"/>
    <n v="2"/>
    <n v="1"/>
    <x v="1"/>
    <x v="3"/>
    <x v="2"/>
    <x v="3"/>
    <x v="2"/>
  </r>
  <r>
    <x v="33"/>
    <x v="1"/>
    <x v="0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x v="1"/>
    <n v="11"/>
    <n v="3"/>
    <n v="3"/>
    <n v="2"/>
    <n v="9"/>
    <n v="6"/>
    <n v="2"/>
    <n v="4"/>
    <n v="3"/>
    <n v="2"/>
    <n v="3"/>
    <n v="0"/>
    <x v="1"/>
    <x v="1"/>
    <x v="2"/>
    <x v="2"/>
    <x v="2"/>
  </r>
  <r>
    <x v="3"/>
    <x v="1"/>
    <x v="1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x v="1"/>
    <n v="20"/>
    <n v="4"/>
    <n v="3"/>
    <n v="3"/>
    <n v="9"/>
    <n v="2"/>
    <n v="3"/>
    <n v="9"/>
    <n v="7"/>
    <n v="2"/>
    <n v="8"/>
    <n v="0"/>
    <x v="2"/>
    <x v="0"/>
    <x v="0"/>
    <x v="2"/>
    <x v="1"/>
  </r>
  <r>
    <x v="23"/>
    <x v="1"/>
    <x v="0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x v="1"/>
    <n v="17"/>
    <n v="3"/>
    <n v="2"/>
    <n v="1"/>
    <n v="10"/>
    <n v="1"/>
    <n v="3"/>
    <n v="10"/>
    <n v="9"/>
    <n v="0"/>
    <n v="9"/>
    <n v="0"/>
    <x v="0"/>
    <x v="2"/>
    <x v="0"/>
    <x v="2"/>
    <x v="1"/>
  </r>
  <r>
    <x v="8"/>
    <x v="1"/>
    <x v="1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x v="0"/>
    <n v="11"/>
    <n v="3"/>
    <n v="2"/>
    <n v="1"/>
    <n v="7"/>
    <n v="2"/>
    <n v="3"/>
    <n v="6"/>
    <n v="2"/>
    <n v="1"/>
    <n v="2"/>
    <n v="0"/>
    <x v="0"/>
    <x v="1"/>
    <x v="0"/>
    <x v="1"/>
    <x v="1"/>
  </r>
  <r>
    <x v="27"/>
    <x v="1"/>
    <x v="0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x v="0"/>
    <n v="18"/>
    <n v="3"/>
    <n v="1"/>
    <n v="1"/>
    <n v="35"/>
    <n v="0"/>
    <n v="3"/>
    <n v="10"/>
    <n v="9"/>
    <n v="1"/>
    <n v="4"/>
    <n v="0"/>
    <x v="1"/>
    <x v="3"/>
    <x v="0"/>
    <x v="1"/>
    <x v="1"/>
  </r>
  <r>
    <x v="12"/>
    <x v="1"/>
    <x v="0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x v="0"/>
    <n v="11"/>
    <n v="3"/>
    <n v="3"/>
    <n v="3"/>
    <n v="1"/>
    <n v="4"/>
    <n v="3"/>
    <n v="1"/>
    <n v="0"/>
    <n v="0"/>
    <n v="0"/>
    <n v="0"/>
    <x v="2"/>
    <x v="1"/>
    <x v="1"/>
    <x v="0"/>
    <x v="1"/>
  </r>
  <r>
    <x v="22"/>
    <x v="1"/>
    <x v="0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x v="1"/>
    <n v="12"/>
    <n v="3"/>
    <n v="1"/>
    <n v="0"/>
    <n v="21"/>
    <n v="3"/>
    <n v="3"/>
    <n v="20"/>
    <n v="8"/>
    <n v="11"/>
    <n v="10"/>
    <n v="0"/>
    <x v="0"/>
    <x v="3"/>
    <x v="3"/>
    <x v="3"/>
    <x v="1"/>
  </r>
  <r>
    <x v="19"/>
    <x v="1"/>
    <x v="2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x v="1"/>
    <n v="12"/>
    <n v="3"/>
    <n v="4"/>
    <n v="0"/>
    <n v="20"/>
    <n v="2"/>
    <n v="3"/>
    <n v="20"/>
    <n v="9"/>
    <n v="3"/>
    <n v="7"/>
    <n v="0"/>
    <x v="0"/>
    <x v="0"/>
    <x v="3"/>
    <x v="2"/>
    <x v="1"/>
  </r>
  <r>
    <x v="12"/>
    <x v="1"/>
    <x v="2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x v="1"/>
    <n v="20"/>
    <n v="4"/>
    <n v="3"/>
    <n v="1"/>
    <n v="13"/>
    <n v="2"/>
    <n v="4"/>
    <n v="11"/>
    <n v="7"/>
    <n v="4"/>
    <n v="8"/>
    <n v="0"/>
    <x v="2"/>
    <x v="3"/>
    <x v="3"/>
    <x v="2"/>
    <x v="3"/>
  </r>
  <r>
    <x v="33"/>
    <x v="1"/>
    <x v="0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x v="0"/>
    <n v="19"/>
    <n v="3"/>
    <n v="4"/>
    <n v="0"/>
    <n v="9"/>
    <n v="3"/>
    <n v="3"/>
    <n v="5"/>
    <n v="2"/>
    <n v="1"/>
    <n v="4"/>
    <n v="0"/>
    <x v="1"/>
    <x v="0"/>
    <x v="2"/>
    <x v="3"/>
    <x v="1"/>
  </r>
  <r>
    <x v="17"/>
    <x v="1"/>
    <x v="0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x v="1"/>
    <n v="12"/>
    <n v="3"/>
    <n v="2"/>
    <n v="0"/>
    <n v="4"/>
    <n v="2"/>
    <n v="2"/>
    <n v="4"/>
    <n v="3"/>
    <n v="1"/>
    <n v="2"/>
    <n v="0"/>
    <x v="4"/>
    <x v="0"/>
    <x v="2"/>
    <x v="2"/>
    <x v="2"/>
  </r>
  <r>
    <x v="30"/>
    <x v="1"/>
    <x v="0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x v="1"/>
    <n v="13"/>
    <n v="3"/>
    <n v="3"/>
    <n v="0"/>
    <n v="5"/>
    <n v="6"/>
    <n v="4"/>
    <n v="5"/>
    <n v="2"/>
    <n v="1"/>
    <n v="4"/>
    <n v="0"/>
    <x v="4"/>
    <x v="1"/>
    <x v="2"/>
    <x v="0"/>
    <x v="3"/>
  </r>
  <r>
    <x v="32"/>
    <x v="1"/>
    <x v="1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x v="1"/>
    <n v="11"/>
    <n v="3"/>
    <n v="1"/>
    <n v="1"/>
    <n v="10"/>
    <n v="2"/>
    <n v="4"/>
    <n v="10"/>
    <n v="9"/>
    <n v="9"/>
    <n v="4"/>
    <n v="0"/>
    <x v="0"/>
    <x v="2"/>
    <x v="0"/>
    <x v="2"/>
    <x v="3"/>
  </r>
  <r>
    <x v="32"/>
    <x v="1"/>
    <x v="0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x v="1"/>
    <n v="14"/>
    <n v="3"/>
    <n v="3"/>
    <n v="1"/>
    <n v="15"/>
    <n v="4"/>
    <n v="3"/>
    <n v="11"/>
    <n v="8"/>
    <n v="5"/>
    <n v="10"/>
    <n v="0"/>
    <x v="0"/>
    <x v="0"/>
    <x v="3"/>
    <x v="1"/>
    <x v="1"/>
  </r>
  <r>
    <x v="36"/>
    <x v="1"/>
    <x v="0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x v="1"/>
    <n v="14"/>
    <n v="3"/>
    <n v="3"/>
    <n v="0"/>
    <n v="6"/>
    <n v="3"/>
    <n v="3"/>
    <n v="2"/>
    <n v="0"/>
    <n v="1"/>
    <n v="2"/>
    <n v="0"/>
    <x v="4"/>
    <x v="1"/>
    <x v="2"/>
    <x v="1"/>
    <x v="1"/>
  </r>
  <r>
    <x v="7"/>
    <x v="1"/>
    <x v="0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x v="1"/>
    <n v="13"/>
    <n v="3"/>
    <n v="3"/>
    <n v="0"/>
    <n v="12"/>
    <n v="6"/>
    <n v="2"/>
    <n v="12"/>
    <n v="8"/>
    <n v="1"/>
    <n v="7"/>
    <n v="0"/>
    <x v="2"/>
    <x v="0"/>
    <x v="3"/>
    <x v="1"/>
    <x v="2"/>
  </r>
  <r>
    <x v="36"/>
    <x v="1"/>
    <x v="0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x v="0"/>
    <n v="19"/>
    <n v="3"/>
    <n v="3"/>
    <n v="1"/>
    <n v="7"/>
    <n v="2"/>
    <n v="2"/>
    <n v="2"/>
    <n v="2"/>
    <n v="0"/>
    <n v="2"/>
    <n v="0"/>
    <x v="4"/>
    <x v="0"/>
    <x v="2"/>
    <x v="2"/>
    <x v="2"/>
  </r>
  <r>
    <x v="40"/>
    <x v="1"/>
    <x v="0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x v="1"/>
    <n v="23"/>
    <n v="4"/>
    <n v="2"/>
    <n v="0"/>
    <n v="25"/>
    <n v="3"/>
    <n v="3"/>
    <n v="17"/>
    <n v="14"/>
    <n v="12"/>
    <n v="11"/>
    <n v="0"/>
    <x v="1"/>
    <x v="2"/>
    <x v="3"/>
    <x v="2"/>
    <x v="1"/>
  </r>
  <r>
    <x v="3"/>
    <x v="1"/>
    <x v="2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x v="1"/>
    <n v="12"/>
    <n v="3"/>
    <n v="3"/>
    <n v="3"/>
    <n v="1"/>
    <n v="2"/>
    <n v="2"/>
    <n v="1"/>
    <n v="1"/>
    <n v="0"/>
    <n v="0"/>
    <n v="0"/>
    <x v="2"/>
    <x v="1"/>
    <x v="1"/>
    <x v="2"/>
    <x v="2"/>
  </r>
  <r>
    <x v="8"/>
    <x v="1"/>
    <x v="0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x v="1"/>
    <n v="15"/>
    <n v="3"/>
    <n v="1"/>
    <n v="2"/>
    <n v="16"/>
    <n v="3"/>
    <n v="3"/>
    <n v="15"/>
    <n v="13"/>
    <n v="5"/>
    <n v="8"/>
    <n v="0"/>
    <x v="0"/>
    <x v="0"/>
    <x v="3"/>
    <x v="1"/>
    <x v="1"/>
  </r>
  <r>
    <x v="12"/>
    <x v="1"/>
    <x v="0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x v="1"/>
    <n v="19"/>
    <n v="3"/>
    <n v="3"/>
    <n v="1"/>
    <n v="3"/>
    <n v="1"/>
    <n v="3"/>
    <n v="2"/>
    <n v="2"/>
    <n v="1"/>
    <n v="2"/>
    <n v="0"/>
    <x v="2"/>
    <x v="0"/>
    <x v="2"/>
    <x v="2"/>
    <x v="1"/>
  </r>
  <r>
    <x v="8"/>
    <x v="1"/>
    <x v="1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x v="1"/>
    <n v="11"/>
    <n v="3"/>
    <n v="4"/>
    <n v="1"/>
    <n v="10"/>
    <n v="1"/>
    <n v="3"/>
    <n v="8"/>
    <n v="3"/>
    <n v="7"/>
    <n v="7"/>
    <n v="0"/>
    <x v="0"/>
    <x v="0"/>
    <x v="0"/>
    <x v="2"/>
    <x v="1"/>
  </r>
  <r>
    <x v="19"/>
    <x v="1"/>
    <x v="0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x v="0"/>
    <n v="17"/>
    <n v="3"/>
    <n v="3"/>
    <n v="1"/>
    <n v="9"/>
    <n v="3"/>
    <n v="2"/>
    <n v="4"/>
    <n v="3"/>
    <n v="1"/>
    <n v="2"/>
    <n v="0"/>
    <x v="0"/>
    <x v="0"/>
    <x v="2"/>
    <x v="3"/>
    <x v="2"/>
  </r>
  <r>
    <x v="0"/>
    <x v="1"/>
    <x v="0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x v="1"/>
    <n v="22"/>
    <n v="4"/>
    <n v="1"/>
    <n v="1"/>
    <n v="12"/>
    <n v="3"/>
    <n v="3"/>
    <n v="5"/>
    <n v="3"/>
    <n v="1"/>
    <n v="0"/>
    <n v="0"/>
    <x v="0"/>
    <x v="1"/>
    <x v="2"/>
    <x v="0"/>
    <x v="1"/>
  </r>
  <r>
    <x v="40"/>
    <x v="1"/>
    <x v="2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x v="1"/>
    <n v="18"/>
    <n v="3"/>
    <n v="1"/>
    <n v="2"/>
    <n v="14"/>
    <n v="3"/>
    <n v="1"/>
    <n v="13"/>
    <n v="8"/>
    <n v="5"/>
    <n v="12"/>
    <n v="0"/>
    <x v="1"/>
    <x v="3"/>
    <x v="3"/>
    <x v="1"/>
    <x v="0"/>
  </r>
  <r>
    <x v="10"/>
    <x v="1"/>
    <x v="0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x v="0"/>
    <n v="11"/>
    <n v="3"/>
    <n v="3"/>
    <n v="1"/>
    <n v="5"/>
    <n v="3"/>
    <n v="3"/>
    <n v="2"/>
    <n v="2"/>
    <n v="2"/>
    <n v="2"/>
    <n v="0"/>
    <x v="2"/>
    <x v="1"/>
    <x v="2"/>
    <x v="2"/>
    <x v="1"/>
  </r>
  <r>
    <x v="15"/>
    <x v="1"/>
    <x v="0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x v="1"/>
    <n v="12"/>
    <n v="3"/>
    <n v="4"/>
    <n v="0"/>
    <n v="4"/>
    <n v="2"/>
    <n v="4"/>
    <n v="3"/>
    <n v="2"/>
    <n v="1"/>
    <n v="2"/>
    <n v="0"/>
    <x v="4"/>
    <x v="0"/>
    <x v="2"/>
    <x v="2"/>
    <x v="3"/>
  </r>
  <r>
    <x v="10"/>
    <x v="1"/>
    <x v="0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x v="1"/>
    <n v="19"/>
    <n v="3"/>
    <n v="2"/>
    <n v="0"/>
    <n v="10"/>
    <n v="5"/>
    <n v="3"/>
    <n v="10"/>
    <n v="7"/>
    <n v="0"/>
    <n v="8"/>
    <n v="0"/>
    <x v="2"/>
    <x v="0"/>
    <x v="0"/>
    <x v="2"/>
    <x v="1"/>
  </r>
  <r>
    <x v="3"/>
    <x v="1"/>
    <x v="0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x v="0"/>
    <n v="13"/>
    <n v="3"/>
    <n v="1"/>
    <n v="1"/>
    <n v="10"/>
    <n v="6"/>
    <n v="3"/>
    <n v="9"/>
    <n v="7"/>
    <n v="8"/>
    <n v="1"/>
    <n v="0"/>
    <x v="2"/>
    <x v="0"/>
    <x v="0"/>
    <x v="0"/>
    <x v="1"/>
  </r>
  <r>
    <x v="5"/>
    <x v="1"/>
    <x v="0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x v="1"/>
    <n v="13"/>
    <n v="3"/>
    <n v="3"/>
    <n v="0"/>
    <n v="6"/>
    <n v="3"/>
    <n v="3"/>
    <n v="6"/>
    <n v="2"/>
    <n v="4"/>
    <n v="1"/>
    <n v="0"/>
    <x v="2"/>
    <x v="1"/>
    <x v="0"/>
    <x v="1"/>
    <x v="1"/>
  </r>
  <r>
    <x v="32"/>
    <x v="1"/>
    <x v="0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x v="1"/>
    <n v="19"/>
    <n v="3"/>
    <n v="3"/>
    <n v="2"/>
    <n v="8"/>
    <n v="3"/>
    <n v="2"/>
    <n v="1"/>
    <n v="0"/>
    <n v="0"/>
    <n v="0"/>
    <n v="0"/>
    <x v="0"/>
    <x v="1"/>
    <x v="1"/>
    <x v="0"/>
    <x v="2"/>
  </r>
  <r>
    <x v="5"/>
    <x v="1"/>
    <x v="0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x v="1"/>
    <n v="14"/>
    <n v="3"/>
    <n v="2"/>
    <n v="1"/>
    <n v="3"/>
    <n v="2"/>
    <n v="3"/>
    <n v="2"/>
    <n v="2"/>
    <n v="2"/>
    <n v="2"/>
    <n v="0"/>
    <x v="2"/>
    <x v="1"/>
    <x v="2"/>
    <x v="1"/>
    <x v="1"/>
  </r>
  <r>
    <x v="22"/>
    <x v="1"/>
    <x v="0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x v="1"/>
    <n v="13"/>
    <n v="3"/>
    <n v="1"/>
    <n v="0"/>
    <n v="18"/>
    <n v="2"/>
    <n v="3"/>
    <n v="7"/>
    <n v="7"/>
    <n v="1"/>
    <n v="7"/>
    <n v="0"/>
    <x v="0"/>
    <x v="0"/>
    <x v="0"/>
    <x v="0"/>
    <x v="1"/>
  </r>
  <r>
    <x v="8"/>
    <x v="1"/>
    <x v="0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x v="1"/>
    <n v="12"/>
    <n v="3"/>
    <n v="1"/>
    <n v="1"/>
    <n v="20"/>
    <n v="3"/>
    <n v="3"/>
    <n v="18"/>
    <n v="16"/>
    <n v="1"/>
    <n v="11"/>
    <n v="0"/>
    <x v="0"/>
    <x v="3"/>
    <x v="3"/>
    <x v="2"/>
    <x v="1"/>
  </r>
  <r>
    <x v="5"/>
    <x v="1"/>
    <x v="0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x v="1"/>
    <n v="19"/>
    <n v="3"/>
    <n v="3"/>
    <n v="2"/>
    <n v="14"/>
    <n v="3"/>
    <n v="3"/>
    <n v="14"/>
    <n v="10"/>
    <n v="5"/>
    <n v="7"/>
    <n v="0"/>
    <x v="2"/>
    <x v="3"/>
    <x v="3"/>
    <x v="0"/>
    <x v="1"/>
  </r>
  <r>
    <x v="2"/>
    <x v="1"/>
    <x v="0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x v="0"/>
    <n v="25"/>
    <n v="4"/>
    <n v="1"/>
    <n v="1"/>
    <n v="16"/>
    <n v="2"/>
    <n v="3"/>
    <n v="16"/>
    <n v="11"/>
    <n v="6"/>
    <n v="8"/>
    <n v="0"/>
    <x v="0"/>
    <x v="3"/>
    <x v="3"/>
    <x v="0"/>
    <x v="1"/>
  </r>
  <r>
    <x v="36"/>
    <x v="1"/>
    <x v="0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x v="0"/>
    <n v="22"/>
    <n v="4"/>
    <n v="2"/>
    <n v="1"/>
    <n v="6"/>
    <n v="3"/>
    <n v="2"/>
    <n v="5"/>
    <n v="3"/>
    <n v="0"/>
    <n v="4"/>
    <n v="0"/>
    <x v="4"/>
    <x v="0"/>
    <x v="2"/>
    <x v="2"/>
    <x v="2"/>
  </r>
  <r>
    <x v="39"/>
    <x v="1"/>
    <x v="2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x v="1"/>
    <n v="15"/>
    <n v="3"/>
    <n v="2"/>
    <n v="2"/>
    <n v="16"/>
    <n v="3"/>
    <n v="2"/>
    <n v="9"/>
    <n v="8"/>
    <n v="0"/>
    <n v="0"/>
    <n v="0"/>
    <x v="1"/>
    <x v="0"/>
    <x v="0"/>
    <x v="0"/>
    <x v="2"/>
  </r>
  <r>
    <x v="20"/>
    <x v="1"/>
    <x v="0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x v="0"/>
    <n v="12"/>
    <n v="3"/>
    <n v="3"/>
    <n v="0"/>
    <n v="6"/>
    <n v="2"/>
    <n v="3"/>
    <n v="4"/>
    <n v="3"/>
    <n v="1"/>
    <n v="2"/>
    <n v="0"/>
    <x v="0"/>
    <x v="1"/>
    <x v="2"/>
    <x v="0"/>
    <x v="1"/>
  </r>
  <r>
    <x v="18"/>
    <x v="1"/>
    <x v="0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x v="0"/>
    <n v="11"/>
    <n v="3"/>
    <n v="4"/>
    <n v="0"/>
    <n v="2"/>
    <n v="6"/>
    <n v="3"/>
    <n v="2"/>
    <n v="2"/>
    <n v="1"/>
    <n v="2"/>
    <n v="0"/>
    <x v="4"/>
    <x v="1"/>
    <x v="2"/>
    <x v="3"/>
    <x v="1"/>
  </r>
  <r>
    <x v="22"/>
    <x v="1"/>
    <x v="2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x v="1"/>
    <n v="13"/>
    <n v="3"/>
    <n v="3"/>
    <n v="0"/>
    <n v="21"/>
    <n v="3"/>
    <n v="2"/>
    <n v="6"/>
    <n v="0"/>
    <n v="1"/>
    <n v="3"/>
    <n v="0"/>
    <x v="0"/>
    <x v="3"/>
    <x v="0"/>
    <x v="0"/>
    <x v="2"/>
  </r>
  <r>
    <x v="30"/>
    <x v="0"/>
    <x v="1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x v="1"/>
    <n v="19"/>
    <n v="3"/>
    <n v="1"/>
    <n v="1"/>
    <n v="1"/>
    <n v="3"/>
    <n v="2"/>
    <n v="1"/>
    <n v="0"/>
    <n v="1"/>
    <n v="0"/>
    <n v="1"/>
    <x v="4"/>
    <x v="1"/>
    <x v="1"/>
    <x v="3"/>
    <x v="2"/>
  </r>
  <r>
    <x v="9"/>
    <x v="1"/>
    <x v="0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x v="1"/>
    <n v="19"/>
    <n v="3"/>
    <n v="3"/>
    <n v="2"/>
    <n v="10"/>
    <n v="2"/>
    <n v="3"/>
    <n v="9"/>
    <n v="7"/>
    <n v="3"/>
    <n v="4"/>
    <n v="0"/>
    <x v="0"/>
    <x v="2"/>
    <x v="0"/>
    <x v="0"/>
    <x v="1"/>
  </r>
  <r>
    <x v="9"/>
    <x v="1"/>
    <x v="1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x v="1"/>
    <n v="13"/>
    <n v="3"/>
    <n v="2"/>
    <n v="3"/>
    <n v="18"/>
    <n v="3"/>
    <n v="3"/>
    <n v="4"/>
    <n v="2"/>
    <n v="0"/>
    <n v="2"/>
    <n v="0"/>
    <x v="0"/>
    <x v="0"/>
    <x v="2"/>
    <x v="1"/>
    <x v="1"/>
  </r>
  <r>
    <x v="29"/>
    <x v="1"/>
    <x v="2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x v="1"/>
    <n v="21"/>
    <n v="4"/>
    <n v="1"/>
    <n v="1"/>
    <n v="13"/>
    <n v="2"/>
    <n v="2"/>
    <n v="13"/>
    <n v="12"/>
    <n v="1"/>
    <n v="9"/>
    <n v="0"/>
    <x v="3"/>
    <x v="2"/>
    <x v="3"/>
    <x v="2"/>
    <x v="2"/>
  </r>
  <r>
    <x v="11"/>
    <x v="0"/>
    <x v="0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x v="0"/>
    <n v="14"/>
    <n v="3"/>
    <n v="2"/>
    <n v="3"/>
    <n v="4"/>
    <n v="3"/>
    <n v="4"/>
    <n v="2"/>
    <n v="2"/>
    <n v="2"/>
    <n v="2"/>
    <n v="1"/>
    <x v="2"/>
    <x v="0"/>
    <x v="2"/>
    <x v="0"/>
    <x v="3"/>
  </r>
  <r>
    <x v="19"/>
    <x v="1"/>
    <x v="0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x v="1"/>
    <n v="11"/>
    <n v="3"/>
    <n v="1"/>
    <n v="0"/>
    <n v="24"/>
    <n v="2"/>
    <n v="2"/>
    <n v="22"/>
    <n v="6"/>
    <n v="4"/>
    <n v="14"/>
    <n v="0"/>
    <x v="0"/>
    <x v="3"/>
    <x v="3"/>
    <x v="2"/>
    <x v="2"/>
  </r>
  <r>
    <x v="29"/>
    <x v="0"/>
    <x v="0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x v="1"/>
    <n v="11"/>
    <n v="3"/>
    <n v="4"/>
    <n v="1"/>
    <n v="14"/>
    <n v="4"/>
    <n v="1"/>
    <n v="10"/>
    <n v="9"/>
    <n v="9"/>
    <n v="8"/>
    <n v="1"/>
    <x v="3"/>
    <x v="1"/>
    <x v="0"/>
    <x v="2"/>
    <x v="0"/>
  </r>
  <r>
    <x v="0"/>
    <x v="1"/>
    <x v="0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x v="1"/>
    <n v="23"/>
    <n v="4"/>
    <n v="3"/>
    <n v="1"/>
    <n v="21"/>
    <n v="3"/>
    <n v="3"/>
    <n v="20"/>
    <n v="7"/>
    <n v="0"/>
    <n v="10"/>
    <n v="0"/>
    <x v="0"/>
    <x v="3"/>
    <x v="3"/>
    <x v="1"/>
    <x v="1"/>
  </r>
  <r>
    <x v="13"/>
    <x v="1"/>
    <x v="0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x v="1"/>
    <n v="21"/>
    <n v="4"/>
    <n v="4"/>
    <n v="2"/>
    <n v="8"/>
    <n v="2"/>
    <n v="3"/>
    <n v="8"/>
    <n v="7"/>
    <n v="1"/>
    <n v="7"/>
    <n v="0"/>
    <x v="2"/>
    <x v="2"/>
    <x v="0"/>
    <x v="2"/>
    <x v="1"/>
  </r>
  <r>
    <x v="9"/>
    <x v="1"/>
    <x v="2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  <n v="0"/>
    <x v="0"/>
    <x v="0"/>
    <x v="3"/>
    <x v="0"/>
    <x v="2"/>
  </r>
  <r>
    <x v="0"/>
    <x v="1"/>
    <x v="0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x v="1"/>
    <n v="11"/>
    <n v="3"/>
    <n v="3"/>
    <n v="1"/>
    <n v="14"/>
    <n v="5"/>
    <n v="3"/>
    <n v="5"/>
    <n v="4"/>
    <n v="0"/>
    <n v="4"/>
    <n v="0"/>
    <x v="0"/>
    <x v="2"/>
    <x v="2"/>
    <x v="1"/>
    <x v="1"/>
  </r>
  <r>
    <x v="5"/>
    <x v="1"/>
    <x v="0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x v="1"/>
    <n v="14"/>
    <n v="3"/>
    <n v="4"/>
    <n v="0"/>
    <n v="4"/>
    <n v="4"/>
    <n v="3"/>
    <n v="4"/>
    <n v="2"/>
    <n v="1"/>
    <n v="2"/>
    <n v="0"/>
    <x v="2"/>
    <x v="1"/>
    <x v="2"/>
    <x v="3"/>
    <x v="1"/>
  </r>
  <r>
    <x v="10"/>
    <x v="1"/>
    <x v="0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x v="0"/>
    <n v="16"/>
    <n v="3"/>
    <n v="3"/>
    <n v="0"/>
    <n v="9"/>
    <n v="2"/>
    <n v="3"/>
    <n v="9"/>
    <n v="0"/>
    <n v="1"/>
    <n v="7"/>
    <n v="0"/>
    <x v="2"/>
    <x v="2"/>
    <x v="0"/>
    <x v="0"/>
    <x v="1"/>
  </r>
  <r>
    <x v="8"/>
    <x v="1"/>
    <x v="0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x v="1"/>
    <n v="11"/>
    <n v="3"/>
    <n v="3"/>
    <n v="1"/>
    <n v="10"/>
    <n v="1"/>
    <n v="3"/>
    <n v="10"/>
    <n v="7"/>
    <n v="1"/>
    <n v="9"/>
    <n v="0"/>
    <x v="0"/>
    <x v="0"/>
    <x v="0"/>
    <x v="0"/>
    <x v="1"/>
  </r>
  <r>
    <x v="24"/>
    <x v="0"/>
    <x v="1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x v="1"/>
    <n v="12"/>
    <n v="3"/>
    <n v="4"/>
    <n v="2"/>
    <n v="12"/>
    <n v="3"/>
    <n v="3"/>
    <n v="6"/>
    <n v="3"/>
    <n v="0"/>
    <n v="1"/>
    <n v="1"/>
    <x v="1"/>
    <x v="2"/>
    <x v="0"/>
    <x v="2"/>
    <x v="1"/>
  </r>
  <r>
    <x v="9"/>
    <x v="1"/>
    <x v="0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x v="1"/>
    <n v="13"/>
    <n v="3"/>
    <n v="1"/>
    <n v="1"/>
    <n v="8"/>
    <n v="2"/>
    <n v="2"/>
    <n v="6"/>
    <n v="3"/>
    <n v="0"/>
    <n v="0"/>
    <n v="0"/>
    <x v="0"/>
    <x v="2"/>
    <x v="0"/>
    <x v="0"/>
    <x v="2"/>
  </r>
  <r>
    <x v="28"/>
    <x v="1"/>
    <x v="0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x v="1"/>
    <n v="15"/>
    <n v="3"/>
    <n v="3"/>
    <n v="0"/>
    <n v="8"/>
    <n v="3"/>
    <n v="3"/>
    <n v="5"/>
    <n v="3"/>
    <n v="0"/>
    <n v="1"/>
    <n v="0"/>
    <x v="0"/>
    <x v="0"/>
    <x v="2"/>
    <x v="2"/>
    <x v="1"/>
  </r>
  <r>
    <x v="32"/>
    <x v="1"/>
    <x v="0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x v="1"/>
    <n v="14"/>
    <n v="3"/>
    <n v="4"/>
    <n v="0"/>
    <n v="8"/>
    <n v="2"/>
    <n v="3"/>
    <n v="2"/>
    <n v="2"/>
    <n v="2"/>
    <n v="2"/>
    <n v="0"/>
    <x v="0"/>
    <x v="1"/>
    <x v="2"/>
    <x v="2"/>
    <x v="1"/>
  </r>
  <r>
    <x v="10"/>
    <x v="1"/>
    <x v="1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x v="0"/>
    <n v="14"/>
    <n v="3"/>
    <n v="4"/>
    <n v="2"/>
    <n v="10"/>
    <n v="2"/>
    <n v="4"/>
    <n v="10"/>
    <n v="2"/>
    <n v="0"/>
    <n v="2"/>
    <n v="0"/>
    <x v="2"/>
    <x v="0"/>
    <x v="0"/>
    <x v="2"/>
    <x v="3"/>
  </r>
  <r>
    <x v="32"/>
    <x v="1"/>
    <x v="0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x v="1"/>
    <n v="14"/>
    <n v="3"/>
    <n v="2"/>
    <n v="3"/>
    <n v="20"/>
    <n v="2"/>
    <n v="3"/>
    <n v="5"/>
    <n v="3"/>
    <n v="0"/>
    <n v="2"/>
    <n v="0"/>
    <x v="0"/>
    <x v="1"/>
    <x v="2"/>
    <x v="2"/>
    <x v="1"/>
  </r>
  <r>
    <x v="10"/>
    <x v="1"/>
    <x v="0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x v="1"/>
    <n v="12"/>
    <n v="3"/>
    <n v="4"/>
    <n v="1"/>
    <n v="4"/>
    <n v="5"/>
    <n v="3"/>
    <n v="4"/>
    <n v="3"/>
    <n v="1"/>
    <n v="1"/>
    <n v="0"/>
    <x v="2"/>
    <x v="1"/>
    <x v="2"/>
    <x v="0"/>
    <x v="1"/>
  </r>
  <r>
    <x v="11"/>
    <x v="1"/>
    <x v="0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x v="0"/>
    <n v="13"/>
    <n v="3"/>
    <n v="1"/>
    <n v="1"/>
    <n v="10"/>
    <n v="2"/>
    <n v="3"/>
    <n v="4"/>
    <n v="3"/>
    <n v="0"/>
    <n v="3"/>
    <n v="0"/>
    <x v="2"/>
    <x v="0"/>
    <x v="2"/>
    <x v="1"/>
    <x v="1"/>
  </r>
  <r>
    <x v="11"/>
    <x v="1"/>
    <x v="0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x v="1"/>
    <n v="14"/>
    <n v="3"/>
    <n v="2"/>
    <n v="0"/>
    <n v="5"/>
    <n v="3"/>
    <n v="1"/>
    <n v="5"/>
    <n v="4"/>
    <n v="0"/>
    <n v="4"/>
    <n v="0"/>
    <x v="2"/>
    <x v="0"/>
    <x v="2"/>
    <x v="3"/>
    <x v="0"/>
  </r>
  <r>
    <x v="24"/>
    <x v="0"/>
    <x v="0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x v="0"/>
    <n v="13"/>
    <n v="3"/>
    <n v="2"/>
    <n v="1"/>
    <n v="20"/>
    <n v="3"/>
    <n v="3"/>
    <n v="3"/>
    <n v="2"/>
    <n v="2"/>
    <n v="0"/>
    <n v="1"/>
    <x v="1"/>
    <x v="3"/>
    <x v="2"/>
    <x v="3"/>
    <x v="1"/>
  </r>
  <r>
    <x v="22"/>
    <x v="1"/>
    <x v="0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x v="1"/>
    <n v="11"/>
    <n v="3"/>
    <n v="1"/>
    <n v="1"/>
    <n v="21"/>
    <n v="2"/>
    <n v="2"/>
    <n v="20"/>
    <n v="9"/>
    <n v="9"/>
    <n v="6"/>
    <n v="0"/>
    <x v="0"/>
    <x v="3"/>
    <x v="3"/>
    <x v="0"/>
    <x v="2"/>
  </r>
  <r>
    <x v="12"/>
    <x v="1"/>
    <x v="2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x v="1"/>
    <n v="19"/>
    <n v="3"/>
    <n v="2"/>
    <n v="0"/>
    <n v="10"/>
    <n v="2"/>
    <n v="3"/>
    <n v="9"/>
    <n v="4"/>
    <n v="1"/>
    <n v="7"/>
    <n v="0"/>
    <x v="2"/>
    <x v="2"/>
    <x v="0"/>
    <x v="3"/>
    <x v="1"/>
  </r>
  <r>
    <x v="25"/>
    <x v="1"/>
    <x v="0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x v="1"/>
    <n v="18"/>
    <n v="3"/>
    <n v="4"/>
    <n v="0"/>
    <n v="5"/>
    <n v="2"/>
    <n v="3"/>
    <n v="4"/>
    <n v="2"/>
    <n v="0"/>
    <n v="0"/>
    <n v="0"/>
    <x v="2"/>
    <x v="1"/>
    <x v="2"/>
    <x v="2"/>
    <x v="1"/>
  </r>
  <r>
    <x v="9"/>
    <x v="1"/>
    <x v="1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x v="1"/>
    <n v="17"/>
    <n v="3"/>
    <n v="3"/>
    <n v="1"/>
    <n v="17"/>
    <n v="3"/>
    <n v="3"/>
    <n v="5"/>
    <n v="2"/>
    <n v="0"/>
    <n v="3"/>
    <n v="0"/>
    <x v="0"/>
    <x v="1"/>
    <x v="2"/>
    <x v="0"/>
    <x v="1"/>
  </r>
  <r>
    <x v="22"/>
    <x v="1"/>
    <x v="0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x v="1"/>
    <n v="15"/>
    <n v="3"/>
    <n v="1"/>
    <n v="1"/>
    <n v="9"/>
    <n v="5"/>
    <n v="3"/>
    <n v="7"/>
    <n v="7"/>
    <n v="1"/>
    <n v="7"/>
    <n v="0"/>
    <x v="0"/>
    <x v="2"/>
    <x v="0"/>
    <x v="3"/>
    <x v="1"/>
  </r>
  <r>
    <x v="4"/>
    <x v="1"/>
    <x v="0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x v="0"/>
    <n v="20"/>
    <n v="4"/>
    <n v="2"/>
    <n v="1"/>
    <n v="6"/>
    <n v="0"/>
    <n v="3"/>
    <n v="6"/>
    <n v="2"/>
    <n v="0"/>
    <n v="3"/>
    <n v="0"/>
    <x v="2"/>
    <x v="2"/>
    <x v="0"/>
    <x v="1"/>
    <x v="1"/>
  </r>
  <r>
    <x v="1"/>
    <x v="1"/>
    <x v="1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x v="1"/>
    <n v="14"/>
    <n v="3"/>
    <n v="4"/>
    <n v="0"/>
    <n v="17"/>
    <n v="3"/>
    <n v="2"/>
    <n v="9"/>
    <n v="6"/>
    <n v="0"/>
    <n v="8"/>
    <n v="0"/>
    <x v="1"/>
    <x v="0"/>
    <x v="0"/>
    <x v="1"/>
    <x v="2"/>
  </r>
  <r>
    <x v="13"/>
    <x v="1"/>
    <x v="0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x v="1"/>
    <n v="12"/>
    <n v="3"/>
    <n v="1"/>
    <n v="0"/>
    <n v="6"/>
    <n v="3"/>
    <n v="4"/>
    <n v="4"/>
    <n v="3"/>
    <n v="1"/>
    <n v="2"/>
    <n v="0"/>
    <x v="2"/>
    <x v="0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4A823-D468-4E48-9ED5-D2467FF9C235}" name="PivotTable9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22:L27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ttrition Rate" fld="32" subtotal="average" baseField="0" baseItem="0" numFmtId="10"/>
  </dataFields>
  <formats count="1">
    <format dxfId="18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BD309-2369-472C-A525-6B1FD7F99528}" name="PivotTable3" cacheId="357" applyNumberFormats="0" applyBorderFormats="0" applyFontFormats="0" applyPatternFormats="0" applyAlignmentFormats="0" applyWidthHeightFormats="1" dataCaption="Values" errorCaption="" showError="1" updatedVersion="8" minRefreshableVersion="3" useAutoFormatting="1" itemPrintTitles="1" createdVersion="8" indent="0" compact="0" compactData="0" multipleFieldFilters="0" chartFormat="5">
  <location ref="F3:G13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ttrition Rate" fld="32" subtotal="average" baseField="0" baseItem="0" numFmtId="10"/>
  </dataFields>
  <formats count="2">
    <format dxfId="16">
      <pivotArea outline="0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E0451-CCAF-4F4E-8980-442D8721DCB2}" name="PivotTable8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2:M17" firstHeaderRow="0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Rate" fld="32" subtotal="average" baseField="0" baseItem="0" numFmtId="10"/>
    <dataField name="Employees" fld="8" subtotal="count" baseField="0" baseItem="0"/>
  </dataFields>
  <formats count="1">
    <format dxfId="15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99BA9-3496-4D48-B96E-200D4F853C9C}" name="PivotTable6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B28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ttrition Rate" fld="32" subtotal="average" baseField="0" baseItem="0" numFmtId="10"/>
  </dataFields>
  <formats count="1">
    <format dxfId="14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C0D38-70A1-4583-8B29-BE0F81E5E78F}" name="PivotTable5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8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ttrition Rate" fld="32" subtotal="average" baseField="0" baseItem="0" numFmtId="10"/>
  </dataFields>
  <formats count="1">
    <format dxfId="13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46186-E3BA-4C1D-BBF2-333C6BE92669}" name="PivotTable10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C37" firstHeaderRow="0" firstDataRow="1" firstDataCol="1"/>
  <pivotFields count="38"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Rate" fld="32" subtotal="average" baseField="0" baseItem="0" numFmtId="10"/>
    <dataField name="Employees" fld="8" subtotal="count" baseField="0" baseItem="0"/>
  </dataFields>
  <formats count="1">
    <format dxfId="12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FE39A-C0F7-4855-9D98-08A93FCFF304}" name="PivotTable1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7" firstHeaderRow="1" firstDataRow="1" firstDataCol="1"/>
  <pivotFields count="38"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name="Department"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4"/>
        <item x="2"/>
        <item x="0"/>
        <item x="1"/>
        <item x="3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ttrition Rate " fld="32" subtotal="average" baseField="0" baseItem="1048829"/>
  </dataFields>
  <formats count="4">
    <format dxfId="8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10">
      <pivotArea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format>
  </formats>
  <chartFormats count="13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7A359-14D1-421B-9DAE-05621CCFCE5E}" name="PivotTable2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4:Q7" firstHeaderRow="1" firstDataRow="1" firstDataCol="1"/>
  <pivotFields count="38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8" subtotal="count" showDataAs="percentOfTotal" baseField="0" baseItem="0" numFmtId="1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E49AF-7CF2-4F93-990B-04FB9202A247}" name="PivotTable7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F20:G25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ttrition  Rate" fld="32" subtotal="average" baseField="0" baseItem="0" numFmtId="10"/>
  </dataFields>
  <formats count="1">
    <format dxfId="7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A18E0-7385-4AB6-816D-E676439A60EE}" name="PivotTable4" cacheId="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:L6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ttrition Rate" fld="32" subtotal="average" baseField="0" baseItem="0" numFmtId="10"/>
  </dataFields>
  <formats count="1">
    <format dxfId="6">
      <pivotArea outline="0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B2549-B2C0-4F2B-8E85-21CA23624E7F}" name="HR" displayName="HR" ref="A1:AL1471" totalsRowShown="0">
  <autoFilter ref="A1:AL1471" xr:uid="{0C9B2549-B2C0-4F2B-8E85-21CA23624E7F}"/>
  <tableColumns count="38">
    <tableColumn id="1" xr3:uid="{95B2D979-BBBD-4AD6-A7A5-1265E48BDA76}" name="Age"/>
    <tableColumn id="2" xr3:uid="{C089EB28-72CE-473D-9AC1-C1B2C235EF27}" name="Attrition"/>
    <tableColumn id="3" xr3:uid="{45E95520-E364-4162-87E6-55937A58C07B}" name="BusinessTravel"/>
    <tableColumn id="4" xr3:uid="{F8613B7A-2590-4689-B510-E32751CE4A4D}" name="DailyRate"/>
    <tableColumn id="5" xr3:uid="{78A55163-F21D-4E4D-BF01-4747D9E3A59A}" name="Department"/>
    <tableColumn id="6" xr3:uid="{F188689C-199C-4014-B40B-22F8B837C611}" name="DistanceFromHome"/>
    <tableColumn id="7" xr3:uid="{3D6E8FB0-6715-442B-B054-D3DC2EDF2A82}" name="Education"/>
    <tableColumn id="8" xr3:uid="{BF79174C-F509-41F5-B8AF-1BCA68ACB9CC}" name="EducationField"/>
    <tableColumn id="9" xr3:uid="{EAD78873-B94F-48B8-9DF9-E006DD43AC13}" name="EmployeeNumber"/>
    <tableColumn id="10" xr3:uid="{AC10CD95-9E7D-4F04-9867-8A1C3241DD59}" name="EnvironmentSatisfaction"/>
    <tableColumn id="11" xr3:uid="{82E71C35-C386-4FD0-B2DE-65ADC68DB994}" name="Gender"/>
    <tableColumn id="12" xr3:uid="{8B63E1F0-A0BE-4825-B6B9-BDD77C1FE111}" name="HourlyRate"/>
    <tableColumn id="13" xr3:uid="{A540FD1D-1689-48A2-A4EC-826460F25EFA}" name="JobInvolvement"/>
    <tableColumn id="14" xr3:uid="{F7D2F3E8-8E67-413F-925B-75C6919E094C}" name="JobLevel"/>
    <tableColumn id="15" xr3:uid="{8333D3E2-1431-431B-BF41-5AE68CB97D88}" name="JobRole"/>
    <tableColumn id="16" xr3:uid="{E1DC270A-E7F5-414B-BE6E-4A2D5EC39E06}" name="JobSatisfaction"/>
    <tableColumn id="17" xr3:uid="{551942CD-49C4-4D9B-94E9-C3902F1FDB0A}" name="MaritalStatus"/>
    <tableColumn id="18" xr3:uid="{0ABF00EC-644F-4F17-8946-87FC2CABD4CF}" name="MonthlyIncome"/>
    <tableColumn id="19" xr3:uid="{5EF05154-ACF8-44CC-B018-8F3BE49D4EC0}" name="MonthlyRate"/>
    <tableColumn id="20" xr3:uid="{A5516DD1-3B92-43CA-83D5-AF93E90F00F3}" name="NumCompaniesWorked"/>
    <tableColumn id="21" xr3:uid="{39301B97-BB68-482B-BD1A-EA59345BB85F}" name="OverTime"/>
    <tableColumn id="22" xr3:uid="{C27D49A9-03A5-4109-89B4-AB115B9A9D94}" name="PercentSalaryHike"/>
    <tableColumn id="23" xr3:uid="{55FAAD09-428B-41E8-A29E-BC93110FC58C}" name="PerformanceRating"/>
    <tableColumn id="24" xr3:uid="{0EF9374B-2F50-4D53-85D4-03159B130363}" name="RelationshipSatisfaction"/>
    <tableColumn id="25" xr3:uid="{79403E16-3B96-4E6E-BA53-C0019CFD7A05}" name="StockOptionLevel"/>
    <tableColumn id="26" xr3:uid="{2FFEC5FC-69FA-41BB-B404-D1A061CE5216}" name="TotalWorkingYears"/>
    <tableColumn id="27" xr3:uid="{11DF32CF-329A-401F-A259-BE61554375AD}" name="TrainingTimesLastYear"/>
    <tableColumn id="28" xr3:uid="{B8D08CEF-CE78-4D72-9513-265A5E36A324}" name="WorkLifeBalance"/>
    <tableColumn id="29" xr3:uid="{BBD0BE34-E44D-4552-8668-CD0AA927C771}" name="YearsAtCompany"/>
    <tableColumn id="30" xr3:uid="{8E1A7ADD-9F9F-43CD-B1BE-E241E9593B34}" name="YearsInCurrentRole"/>
    <tableColumn id="31" xr3:uid="{EB3D46B5-1865-48DB-B48E-DBA921931000}" name="YearsSinceLastPromotion"/>
    <tableColumn id="32" xr3:uid="{355D3E7D-3F09-426E-9051-09EF8FACC3D9}" name="YearsWithCurrManager"/>
    <tableColumn id="33" xr3:uid="{DD9300FA-A9A8-4800-8FC5-77353237DB31}" name="Attrition Flag" dataDxfId="5">
      <calculatedColumnFormula>IF(B2="Yes",1,0)</calculatedColumnFormula>
    </tableColumn>
    <tableColumn id="34" xr3:uid="{1CD02046-FFEA-4328-AB00-9C7277C4E7D9}" name="Age Group" dataDxfId="4">
      <calculatedColumnFormula>IF(A2&lt;26,"18-25",IF(A2&lt;36,"26-35",IF(A2&lt;46,"36-45",IF(A2&lt;56,"46-55","56+"))))</calculatedColumnFormula>
    </tableColumn>
    <tableColumn id="35" xr3:uid="{391BDA40-F8FE-49E5-A6BE-6A33D90DD128}" name="Income Band" dataDxfId="3">
      <calculatedColumnFormula>IF(R2&lt;3000,"1. Under 3K",IF(R2&lt;6000,"2. 3K-6K",IF(R2&lt;10000,"3. 6K-10K","4. 10K+")))</calculatedColumnFormula>
    </tableColumn>
    <tableColumn id="36" xr3:uid="{17651773-A060-4B53-97BA-20230913D994}" name="Tenure Band" dataDxfId="2">
      <calculatedColumnFormula>IF(AC2&lt;2,"1. 0-1 yrs",IF(AC2&lt;6,"2. 2-5 yrs",IF(AC2&lt;11,"3. 6-10 yrs","4. 10+ yrs")))</calculatedColumnFormula>
    </tableColumn>
    <tableColumn id="37" xr3:uid="{09C3C0A5-98D0-4AD6-895B-F80232A9AC54}" name="Job Satisfaction Level" dataDxfId="1">
      <calculatedColumnFormula>CHOOSE(P2,"1. Low","2. Medium","3. High","4. Very High")</calculatedColumnFormula>
    </tableColumn>
    <tableColumn id="38" xr3:uid="{5C4EAC5B-500E-4F66-A43B-7C91B0FAD122}" name="Work Life Balance Level" dataDxfId="0">
      <calculatedColumnFormula>CHOOSE(AB2,"1. Bad","2. Good","3. Better","4. Best")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CA0F-D080-4B0F-B760-EA2E33FB9D88}">
  <dimension ref="A1:AI1471"/>
  <sheetViews>
    <sheetView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1ED4-EFD1-4C6F-A328-833B6074CB55}">
  <dimension ref="A3:Q39"/>
  <sheetViews>
    <sheetView topLeftCell="I3" workbookViewId="0">
      <selection activeCell="P4" sqref="P4"/>
    </sheetView>
  </sheetViews>
  <sheetFormatPr defaultRowHeight="15"/>
  <cols>
    <col min="1" max="1" width="15.85546875" bestFit="1" customWidth="1"/>
    <col min="2" max="2" width="13.42578125" bestFit="1" customWidth="1"/>
    <col min="3" max="3" width="10.85546875" bestFit="1" customWidth="1"/>
    <col min="4" max="4" width="24.42578125" bestFit="1" customWidth="1"/>
    <col min="5" max="5" width="23.42578125" bestFit="1" customWidth="1"/>
    <col min="6" max="6" width="24.7109375" bestFit="1" customWidth="1"/>
    <col min="7" max="7" width="13.42578125" style="3" bestFit="1" customWidth="1"/>
    <col min="8" max="8" width="25.85546875" bestFit="1" customWidth="1"/>
    <col min="9" max="10" width="23.42578125" bestFit="1" customWidth="1"/>
    <col min="11" max="11" width="25.85546875" bestFit="1" customWidth="1"/>
    <col min="12" max="12" width="13.42578125" bestFit="1" customWidth="1"/>
    <col min="13" max="13" width="25.85546875" style="3" bestFit="1" customWidth="1"/>
    <col min="16" max="16" width="12" bestFit="1" customWidth="1"/>
    <col min="17" max="17" width="25.85546875" bestFit="1" customWidth="1"/>
  </cols>
  <sheetData>
    <row r="3" spans="1:17">
      <c r="A3" s="2" t="s">
        <v>4</v>
      </c>
      <c r="B3" t="s">
        <v>62</v>
      </c>
      <c r="F3" s="2" t="s">
        <v>15</v>
      </c>
      <c r="G3" t="s">
        <v>63</v>
      </c>
      <c r="K3" s="2" t="s">
        <v>22</v>
      </c>
      <c r="L3" t="s">
        <v>63</v>
      </c>
      <c r="M3"/>
    </row>
    <row r="4" spans="1:17">
      <c r="A4" t="s">
        <v>61</v>
      </c>
      <c r="B4" s="4">
        <v>0.19047619047619047</v>
      </c>
      <c r="F4" t="s">
        <v>54</v>
      </c>
      <c r="G4" s="3">
        <v>6.8702290076335881E-2</v>
      </c>
      <c r="K4" t="s">
        <v>43</v>
      </c>
      <c r="L4" s="3">
        <v>0.10436432637571158</v>
      </c>
      <c r="M4"/>
      <c r="P4" s="2" t="s">
        <v>1</v>
      </c>
      <c r="Q4" t="s">
        <v>64</v>
      </c>
    </row>
    <row r="5" spans="1:17">
      <c r="A5" t="s">
        <v>45</v>
      </c>
      <c r="B5" s="4">
        <v>0.13839750260145681</v>
      </c>
      <c r="F5" t="s">
        <v>61</v>
      </c>
      <c r="G5" s="3">
        <v>0.23076923076923078</v>
      </c>
      <c r="K5" t="s">
        <v>35</v>
      </c>
      <c r="L5" s="3">
        <v>0.30528846153846156</v>
      </c>
      <c r="M5"/>
      <c r="P5" t="s">
        <v>43</v>
      </c>
      <c r="Q5" s="3">
        <v>0.83877551020408159</v>
      </c>
    </row>
    <row r="6" spans="1:17">
      <c r="A6" t="s">
        <v>37</v>
      </c>
      <c r="B6" s="4">
        <v>0.20627802690582961</v>
      </c>
      <c r="F6" t="s">
        <v>50</v>
      </c>
      <c r="G6" s="3">
        <v>0.23938223938223938</v>
      </c>
      <c r="K6" t="s">
        <v>65</v>
      </c>
      <c r="L6" s="3">
        <v>0.16122448979591836</v>
      </c>
      <c r="M6"/>
      <c r="P6" t="s">
        <v>35</v>
      </c>
      <c r="Q6" s="3">
        <v>0.16122448979591836</v>
      </c>
    </row>
    <row r="7" spans="1:17">
      <c r="A7" t="s">
        <v>65</v>
      </c>
      <c r="B7" s="4">
        <v>0.16122448979591836</v>
      </c>
      <c r="F7" t="s">
        <v>56</v>
      </c>
      <c r="G7" s="3">
        <v>4.9019607843137254E-2</v>
      </c>
      <c r="P7" t="s">
        <v>65</v>
      </c>
      <c r="Q7" s="3">
        <v>1</v>
      </c>
    </row>
    <row r="8" spans="1:17">
      <c r="F8" t="s">
        <v>53</v>
      </c>
      <c r="G8" s="3">
        <v>6.8965517241379309E-2</v>
      </c>
    </row>
    <row r="9" spans="1:17">
      <c r="F9" t="s">
        <v>58</v>
      </c>
      <c r="G9" s="3">
        <v>2.5000000000000001E-2</v>
      </c>
    </row>
    <row r="10" spans="1:17">
      <c r="F10" t="s">
        <v>47</v>
      </c>
      <c r="G10" s="3">
        <v>0.16095890410958905</v>
      </c>
    </row>
    <row r="11" spans="1:17">
      <c r="F11" t="s">
        <v>40</v>
      </c>
      <c r="G11" s="3">
        <v>0.17484662576687116</v>
      </c>
    </row>
    <row r="12" spans="1:17">
      <c r="A12" s="2" t="s">
        <v>66</v>
      </c>
      <c r="B12" t="s">
        <v>63</v>
      </c>
      <c r="F12" t="s">
        <v>57</v>
      </c>
      <c r="G12" s="3">
        <v>0.39759036144578314</v>
      </c>
      <c r="K12" s="2" t="s">
        <v>67</v>
      </c>
      <c r="L12" t="s">
        <v>63</v>
      </c>
      <c r="M12" t="s">
        <v>68</v>
      </c>
    </row>
    <row r="13" spans="1:17">
      <c r="A13" t="s">
        <v>69</v>
      </c>
      <c r="B13" s="3">
        <v>0.35772357723577236</v>
      </c>
      <c r="F13" t="s">
        <v>65</v>
      </c>
      <c r="G13" s="3">
        <v>0.16122448979591836</v>
      </c>
      <c r="K13" t="s">
        <v>70</v>
      </c>
      <c r="L13" s="3">
        <v>0.22837370242214533</v>
      </c>
      <c r="M13" s="1">
        <v>289</v>
      </c>
    </row>
    <row r="14" spans="1:17">
      <c r="A14" t="s">
        <v>71</v>
      </c>
      <c r="B14" s="3">
        <v>0.19141914191419143</v>
      </c>
      <c r="K14" t="s">
        <v>72</v>
      </c>
      <c r="L14" s="3">
        <v>0.16428571428571428</v>
      </c>
      <c r="M14" s="1">
        <v>280</v>
      </c>
    </row>
    <row r="15" spans="1:17">
      <c r="A15" t="s">
        <v>73</v>
      </c>
      <c r="B15" s="3">
        <v>9.1880341880341887E-2</v>
      </c>
      <c r="K15" t="s">
        <v>74</v>
      </c>
      <c r="L15" s="3">
        <v>0.16515837104072398</v>
      </c>
      <c r="M15" s="1">
        <v>442</v>
      </c>
    </row>
    <row r="16" spans="1:17">
      <c r="A16" t="s">
        <v>75</v>
      </c>
      <c r="B16" s="3">
        <v>0.11504424778761062</v>
      </c>
      <c r="K16" t="s">
        <v>76</v>
      </c>
      <c r="L16" s="3">
        <v>0.11328976034858387</v>
      </c>
      <c r="M16" s="1">
        <v>459</v>
      </c>
    </row>
    <row r="17" spans="1:13">
      <c r="A17" t="s">
        <v>77</v>
      </c>
      <c r="B17" s="3">
        <v>0.1702127659574468</v>
      </c>
      <c r="K17" t="s">
        <v>65</v>
      </c>
      <c r="L17" s="3">
        <v>0.16122448979591836</v>
      </c>
      <c r="M17" s="1">
        <v>1470</v>
      </c>
    </row>
    <row r="18" spans="1:13">
      <c r="A18" t="s">
        <v>65</v>
      </c>
      <c r="B18" s="3">
        <v>0.16122448979591836</v>
      </c>
      <c r="M18"/>
    </row>
    <row r="19" spans="1:13">
      <c r="M19"/>
    </row>
    <row r="20" spans="1:13">
      <c r="F20" s="2" t="s">
        <v>78</v>
      </c>
      <c r="G20" t="s">
        <v>79</v>
      </c>
      <c r="M20"/>
    </row>
    <row r="21" spans="1:13">
      <c r="F21" t="s">
        <v>80</v>
      </c>
      <c r="G21" s="3">
        <v>0.34883720930232559</v>
      </c>
      <c r="M21"/>
    </row>
    <row r="22" spans="1:13">
      <c r="F22" t="s">
        <v>81</v>
      </c>
      <c r="G22" s="3">
        <v>0.15508021390374332</v>
      </c>
      <c r="K22" s="2" t="s">
        <v>82</v>
      </c>
      <c r="L22" t="s">
        <v>63</v>
      </c>
      <c r="M22"/>
    </row>
    <row r="23" spans="1:13">
      <c r="A23" s="2" t="s">
        <v>83</v>
      </c>
      <c r="B23" t="s">
        <v>63</v>
      </c>
      <c r="F23" t="s">
        <v>84</v>
      </c>
      <c r="G23" s="3">
        <v>0.12276785714285714</v>
      </c>
      <c r="K23" t="s">
        <v>85</v>
      </c>
      <c r="L23" s="3">
        <v>0.3125</v>
      </c>
      <c r="M23"/>
    </row>
    <row r="24" spans="1:13">
      <c r="A24" t="s">
        <v>86</v>
      </c>
      <c r="B24" s="3">
        <v>0.28607594936708863</v>
      </c>
      <c r="F24" t="s">
        <v>87</v>
      </c>
      <c r="G24" s="3">
        <v>8.1300813008130079E-2</v>
      </c>
      <c r="K24" t="s">
        <v>88</v>
      </c>
      <c r="L24" s="3">
        <v>0.16860465116279069</v>
      </c>
      <c r="M24"/>
    </row>
    <row r="25" spans="1:13">
      <c r="A25" t="s">
        <v>89</v>
      </c>
      <c r="B25" s="3">
        <v>0.12716763005780346</v>
      </c>
      <c r="F25" t="s">
        <v>65</v>
      </c>
      <c r="G25" s="3">
        <v>0.16122448979591836</v>
      </c>
      <c r="K25" t="s">
        <v>90</v>
      </c>
      <c r="L25" s="3">
        <v>0.14221724524076149</v>
      </c>
      <c r="M25"/>
    </row>
    <row r="26" spans="1:13">
      <c r="A26" t="s">
        <v>91</v>
      </c>
      <c r="B26" s="3">
        <v>0.12</v>
      </c>
      <c r="G26"/>
      <c r="K26" t="s">
        <v>92</v>
      </c>
      <c r="L26" s="3">
        <v>0.17647058823529413</v>
      </c>
      <c r="M26"/>
    </row>
    <row r="27" spans="1:13">
      <c r="A27" t="s">
        <v>93</v>
      </c>
      <c r="B27" s="3">
        <v>8.8967971530249115E-2</v>
      </c>
      <c r="G27"/>
      <c r="K27" t="s">
        <v>65</v>
      </c>
      <c r="L27" s="3">
        <v>0.16122448979591836</v>
      </c>
      <c r="M27"/>
    </row>
    <row r="28" spans="1:13">
      <c r="A28" t="s">
        <v>65</v>
      </c>
      <c r="B28" s="3">
        <v>0.16122448979591836</v>
      </c>
      <c r="G28"/>
      <c r="M28"/>
    </row>
    <row r="29" spans="1:13">
      <c r="G29"/>
      <c r="M29"/>
    </row>
    <row r="30" spans="1:13">
      <c r="G30"/>
      <c r="M30"/>
    </row>
    <row r="31" spans="1:13">
      <c r="G31"/>
      <c r="M31"/>
    </row>
    <row r="32" spans="1:13">
      <c r="G32"/>
      <c r="M32"/>
    </row>
    <row r="33" spans="1:13">
      <c r="A33" s="2" t="s">
        <v>2</v>
      </c>
      <c r="B33" t="s">
        <v>63</v>
      </c>
      <c r="C33" t="s">
        <v>68</v>
      </c>
      <c r="G33"/>
      <c r="M33"/>
    </row>
    <row r="34" spans="1:13">
      <c r="A34" t="s">
        <v>55</v>
      </c>
      <c r="B34" s="3">
        <v>0.08</v>
      </c>
      <c r="C34" s="1">
        <v>150</v>
      </c>
      <c r="G34"/>
      <c r="M34"/>
    </row>
    <row r="35" spans="1:13">
      <c r="A35" t="s">
        <v>44</v>
      </c>
      <c r="B35" s="3">
        <v>0.24909747292418771</v>
      </c>
      <c r="C35" s="1">
        <v>277</v>
      </c>
      <c r="G35"/>
      <c r="M35"/>
    </row>
    <row r="36" spans="1:13">
      <c r="A36" t="s">
        <v>36</v>
      </c>
      <c r="B36" s="3">
        <v>0.14956855225311602</v>
      </c>
      <c r="C36" s="1">
        <v>1043</v>
      </c>
      <c r="G36"/>
      <c r="M36"/>
    </row>
    <row r="37" spans="1:13">
      <c r="A37" t="s">
        <v>65</v>
      </c>
      <c r="B37" s="3">
        <v>0.16122448979591836</v>
      </c>
      <c r="C37" s="1">
        <v>1470</v>
      </c>
      <c r="G37"/>
      <c r="M37"/>
    </row>
    <row r="38" spans="1:13">
      <c r="M38"/>
    </row>
    <row r="39" spans="1:13">
      <c r="M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3AEF-417A-4446-9368-6D80B0E02F0E}">
  <dimension ref="A1:AL1471"/>
  <sheetViews>
    <sheetView workbookViewId="0">
      <selection activeCell="E12" sqref="E12"/>
    </sheetView>
  </sheetViews>
  <sheetFormatPr defaultRowHeight="15"/>
  <cols>
    <col min="1" max="1" width="6.85546875" bestFit="1" customWidth="1"/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9.85546875" bestFit="1" customWidth="1"/>
    <col min="10" max="10" width="25.7109375" bestFit="1" customWidth="1"/>
    <col min="11" max="11" width="10" bestFit="1" customWidth="1"/>
    <col min="12" max="12" width="13.42578125" bestFit="1" customWidth="1"/>
    <col min="13" max="13" width="17.85546875" bestFit="1" customWidth="1"/>
    <col min="14" max="14" width="11" bestFit="1" customWidth="1"/>
    <col min="15" max="15" width="25.140625" bestFit="1" customWidth="1"/>
    <col min="16" max="16" width="17" bestFit="1" customWidth="1"/>
    <col min="17" max="17" width="15.7109375" bestFit="1" customWidth="1"/>
    <col min="18" max="18" width="17.7109375" bestFit="1" customWidth="1"/>
    <col min="19" max="19" width="15.140625" bestFit="1" customWidth="1"/>
    <col min="20" max="20" width="25.140625" bestFit="1" customWidth="1"/>
    <col min="21" max="21" width="12.140625" bestFit="1" customWidth="1"/>
    <col min="22" max="22" width="20" bestFit="1" customWidth="1"/>
    <col min="23" max="23" width="20.85546875" bestFit="1" customWidth="1"/>
    <col min="24" max="24" width="25.42578125" bestFit="1" customWidth="1"/>
    <col min="25" max="25" width="19.140625" bestFit="1" customWidth="1"/>
    <col min="26" max="26" width="20.7109375" bestFit="1" customWidth="1"/>
    <col min="27" max="27" width="24" bestFit="1" customWidth="1"/>
    <col min="28" max="28" width="18.5703125" bestFit="1" customWidth="1"/>
    <col min="29" max="29" width="18.85546875" bestFit="1" customWidth="1"/>
    <col min="30" max="30" width="21" bestFit="1" customWidth="1"/>
    <col min="31" max="31" width="26.42578125" bestFit="1" customWidth="1"/>
    <col min="32" max="32" width="24.85546875" bestFit="1" customWidth="1"/>
    <col min="33" max="33" width="15.140625" bestFit="1" customWidth="1"/>
    <col min="34" max="34" width="12.85546875" bestFit="1" customWidth="1"/>
    <col min="35" max="35" width="15" bestFit="1" customWidth="1"/>
    <col min="36" max="36" width="14.7109375" bestFit="1" customWidth="1"/>
    <col min="37" max="37" width="22.7109375" bestFit="1" customWidth="1"/>
    <col min="38" max="38" width="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94</v>
      </c>
      <c r="AH1" t="s">
        <v>66</v>
      </c>
      <c r="AI1" t="s">
        <v>83</v>
      </c>
      <c r="AJ1" t="s">
        <v>78</v>
      </c>
      <c r="AK1" t="s">
        <v>67</v>
      </c>
      <c r="AL1" t="s">
        <v>82</v>
      </c>
    </row>
    <row r="2" spans="1:38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f t="shared" ref="AG2:AG65" si="0">IF(B2="Yes",1,0)</f>
        <v>1</v>
      </c>
      <c r="AH2" t="str">
        <f t="shared" ref="AH2:AH65" si="1">IF(A2&lt;26,"18-25",IF(A2&lt;36,"26-35",IF(A2&lt;46,"36-45",IF(A2&lt;56,"46-55","56+"))))</f>
        <v>36-45</v>
      </c>
      <c r="AI2" t="str">
        <f t="shared" ref="AI2:AI65" si="2">IF(R2&lt;3000,"1. Under 3K",IF(R2&lt;6000,"2. 3K-6K",IF(R2&lt;10000,"3. 6K-10K","4. 10K+")))</f>
        <v>2. 3K-6K</v>
      </c>
      <c r="AJ2" s="1" t="str">
        <f t="shared" ref="AJ2:AJ65" si="3">IF(AC2&lt;2,"1. 0-1 yrs",IF(AC2&lt;6,"2. 2-5 yrs",IF(AC2&lt;11,"3. 6-10 yrs","4. 10+ yrs")))</f>
        <v>3. 6-10 yrs</v>
      </c>
      <c r="AK2" s="1" t="str">
        <f t="shared" ref="AK2:AK65" si="4">CHOOSE(P2,"1. Low","2. Medium","3. High","4. Very High")</f>
        <v>4. Very High</v>
      </c>
      <c r="AL2" s="1" t="str">
        <f t="shared" ref="AL2:AL65" si="5">CHOOSE(AB2,"1. Bad","2. Good","3. Better","4. Best")</f>
        <v>1. Bad</v>
      </c>
    </row>
    <row r="3" spans="1:38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f t="shared" si="0"/>
        <v>0</v>
      </c>
      <c r="AH3" t="str">
        <f t="shared" si="1"/>
        <v>46-55</v>
      </c>
      <c r="AI3" t="str">
        <f t="shared" si="2"/>
        <v>2. 3K-6K</v>
      </c>
      <c r="AJ3" s="1" t="str">
        <f t="shared" si="3"/>
        <v>3. 6-10 yrs</v>
      </c>
      <c r="AK3" s="1" t="str">
        <f t="shared" si="4"/>
        <v>2. Medium</v>
      </c>
      <c r="AL3" s="1" t="str">
        <f t="shared" si="5"/>
        <v>3. Better</v>
      </c>
    </row>
    <row r="4" spans="1:38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f t="shared" si="0"/>
        <v>1</v>
      </c>
      <c r="AH4" t="str">
        <f t="shared" si="1"/>
        <v>36-45</v>
      </c>
      <c r="AI4" t="str">
        <f t="shared" si="2"/>
        <v>1. Under 3K</v>
      </c>
      <c r="AJ4" s="1" t="str">
        <f t="shared" si="3"/>
        <v>1. 0-1 yrs</v>
      </c>
      <c r="AK4" s="1" t="str">
        <f t="shared" si="4"/>
        <v>3. High</v>
      </c>
      <c r="AL4" s="1" t="str">
        <f t="shared" si="5"/>
        <v>3. Better</v>
      </c>
    </row>
    <row r="5" spans="1:38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f t="shared" si="0"/>
        <v>0</v>
      </c>
      <c r="AH5" t="str">
        <f t="shared" si="1"/>
        <v>26-35</v>
      </c>
      <c r="AI5" t="str">
        <f t="shared" si="2"/>
        <v>1. Under 3K</v>
      </c>
      <c r="AJ5" s="1" t="str">
        <f t="shared" si="3"/>
        <v>3. 6-10 yrs</v>
      </c>
      <c r="AK5" s="1" t="str">
        <f t="shared" si="4"/>
        <v>3. High</v>
      </c>
      <c r="AL5" s="1" t="str">
        <f t="shared" si="5"/>
        <v>3. Better</v>
      </c>
    </row>
    <row r="6" spans="1:38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f t="shared" si="0"/>
        <v>0</v>
      </c>
      <c r="AH6" t="str">
        <f t="shared" si="1"/>
        <v>26-35</v>
      </c>
      <c r="AI6" t="str">
        <f t="shared" si="2"/>
        <v>2. 3K-6K</v>
      </c>
      <c r="AJ6" s="1" t="str">
        <f t="shared" si="3"/>
        <v>2. 2-5 yrs</v>
      </c>
      <c r="AK6" s="1" t="str">
        <f t="shared" si="4"/>
        <v>2. Medium</v>
      </c>
      <c r="AL6" s="1" t="str">
        <f t="shared" si="5"/>
        <v>3. Better</v>
      </c>
    </row>
    <row r="7" spans="1:38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f t="shared" si="0"/>
        <v>0</v>
      </c>
      <c r="AH7" t="str">
        <f t="shared" si="1"/>
        <v>26-35</v>
      </c>
      <c r="AI7" t="str">
        <f t="shared" si="2"/>
        <v>2. 3K-6K</v>
      </c>
      <c r="AJ7" s="1" t="str">
        <f t="shared" si="3"/>
        <v>3. 6-10 yrs</v>
      </c>
      <c r="AK7" s="1" t="str">
        <f t="shared" si="4"/>
        <v>4. Very High</v>
      </c>
      <c r="AL7" s="1" t="str">
        <f t="shared" si="5"/>
        <v>2. Good</v>
      </c>
    </row>
    <row r="8" spans="1:38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f t="shared" si="0"/>
        <v>0</v>
      </c>
      <c r="AH8" t="str">
        <f t="shared" si="1"/>
        <v>56+</v>
      </c>
      <c r="AI8" t="str">
        <f t="shared" si="2"/>
        <v>1. Under 3K</v>
      </c>
      <c r="AJ8" s="1" t="str">
        <f t="shared" si="3"/>
        <v>1. 0-1 yrs</v>
      </c>
      <c r="AK8" s="1" t="str">
        <f t="shared" si="4"/>
        <v>1. Low</v>
      </c>
      <c r="AL8" s="1" t="str">
        <f t="shared" si="5"/>
        <v>2. Good</v>
      </c>
    </row>
    <row r="9" spans="1:38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f t="shared" si="0"/>
        <v>0</v>
      </c>
      <c r="AH9" t="str">
        <f t="shared" si="1"/>
        <v>26-35</v>
      </c>
      <c r="AI9" t="str">
        <f t="shared" si="2"/>
        <v>1. Under 3K</v>
      </c>
      <c r="AJ9" s="1" t="str">
        <f t="shared" si="3"/>
        <v>1. 0-1 yrs</v>
      </c>
      <c r="AK9" s="1" t="str">
        <f t="shared" si="4"/>
        <v>3. High</v>
      </c>
      <c r="AL9" s="1" t="str">
        <f t="shared" si="5"/>
        <v>3. Better</v>
      </c>
    </row>
    <row r="10" spans="1:38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f t="shared" si="0"/>
        <v>0</v>
      </c>
      <c r="AH10" t="str">
        <f t="shared" si="1"/>
        <v>36-45</v>
      </c>
      <c r="AI10" t="str">
        <f t="shared" si="2"/>
        <v>3. 6K-10K</v>
      </c>
      <c r="AJ10" s="1" t="str">
        <f t="shared" si="3"/>
        <v>3. 6-10 yrs</v>
      </c>
      <c r="AK10" s="1" t="str">
        <f t="shared" si="4"/>
        <v>3. High</v>
      </c>
      <c r="AL10" s="1" t="str">
        <f t="shared" si="5"/>
        <v>3. Better</v>
      </c>
    </row>
    <row r="11" spans="1:38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f t="shared" si="0"/>
        <v>0</v>
      </c>
      <c r="AH11" t="str">
        <f t="shared" si="1"/>
        <v>36-45</v>
      </c>
      <c r="AI11" t="str">
        <f t="shared" si="2"/>
        <v>2. 3K-6K</v>
      </c>
      <c r="AJ11" s="1" t="str">
        <f t="shared" si="3"/>
        <v>3. 6-10 yrs</v>
      </c>
      <c r="AK11" s="1" t="str">
        <f t="shared" si="4"/>
        <v>3. High</v>
      </c>
      <c r="AL11" s="1" t="str">
        <f t="shared" si="5"/>
        <v>2. Good</v>
      </c>
    </row>
    <row r="12" spans="1:38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f t="shared" si="0"/>
        <v>0</v>
      </c>
      <c r="AH12" t="str">
        <f t="shared" si="1"/>
        <v>26-35</v>
      </c>
      <c r="AI12" t="str">
        <f t="shared" si="2"/>
        <v>1. Under 3K</v>
      </c>
      <c r="AJ12" s="1" t="str">
        <f t="shared" si="3"/>
        <v>2. 2-5 yrs</v>
      </c>
      <c r="AK12" s="1" t="str">
        <f t="shared" si="4"/>
        <v>2. Medium</v>
      </c>
      <c r="AL12" s="1" t="str">
        <f t="shared" si="5"/>
        <v>3. Better</v>
      </c>
    </row>
    <row r="13" spans="1:38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f t="shared" si="0"/>
        <v>0</v>
      </c>
      <c r="AH13" t="str">
        <f t="shared" si="1"/>
        <v>26-35</v>
      </c>
      <c r="AI13" t="str">
        <f t="shared" si="2"/>
        <v>2. 3K-6K</v>
      </c>
      <c r="AJ13" s="1" t="str">
        <f t="shared" si="3"/>
        <v>3. 6-10 yrs</v>
      </c>
      <c r="AK13" s="1" t="str">
        <f t="shared" si="4"/>
        <v>3. High</v>
      </c>
      <c r="AL13" s="1" t="str">
        <f t="shared" si="5"/>
        <v>3. Better</v>
      </c>
    </row>
    <row r="14" spans="1:38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f t="shared" si="0"/>
        <v>0</v>
      </c>
      <c r="AH14" t="str">
        <f t="shared" si="1"/>
        <v>26-35</v>
      </c>
      <c r="AI14" t="str">
        <f t="shared" si="2"/>
        <v>1. Under 3K</v>
      </c>
      <c r="AJ14" s="1" t="str">
        <f t="shared" si="3"/>
        <v>2. 2-5 yrs</v>
      </c>
      <c r="AK14" s="1" t="str">
        <f t="shared" si="4"/>
        <v>3. High</v>
      </c>
      <c r="AL14" s="1" t="str">
        <f t="shared" si="5"/>
        <v>2. Good</v>
      </c>
    </row>
    <row r="15" spans="1:38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f t="shared" si="0"/>
        <v>0</v>
      </c>
      <c r="AH15" t="str">
        <f t="shared" si="1"/>
        <v>26-35</v>
      </c>
      <c r="AI15" t="str">
        <f t="shared" si="2"/>
        <v>1. Under 3K</v>
      </c>
      <c r="AJ15" s="1" t="str">
        <f t="shared" si="3"/>
        <v>2. 2-5 yrs</v>
      </c>
      <c r="AK15" s="1" t="str">
        <f t="shared" si="4"/>
        <v>4. Very High</v>
      </c>
      <c r="AL15" s="1" t="str">
        <f t="shared" si="5"/>
        <v>3. Better</v>
      </c>
    </row>
    <row r="16" spans="1:38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f t="shared" si="0"/>
        <v>1</v>
      </c>
      <c r="AH16" t="str">
        <f t="shared" si="1"/>
        <v>26-35</v>
      </c>
      <c r="AI16" t="str">
        <f t="shared" si="2"/>
        <v>1. Under 3K</v>
      </c>
      <c r="AJ16" s="1" t="str">
        <f t="shared" si="3"/>
        <v>2. 2-5 yrs</v>
      </c>
      <c r="AK16" s="1" t="str">
        <f t="shared" si="4"/>
        <v>3. High</v>
      </c>
      <c r="AL16" s="1" t="str">
        <f t="shared" si="5"/>
        <v>3. Better</v>
      </c>
    </row>
    <row r="17" spans="1:38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f t="shared" si="0"/>
        <v>0</v>
      </c>
      <c r="AH17" t="str">
        <f t="shared" si="1"/>
        <v>26-35</v>
      </c>
      <c r="AI17" t="str">
        <f t="shared" si="2"/>
        <v>3. 6K-10K</v>
      </c>
      <c r="AJ17" s="1" t="str">
        <f t="shared" si="3"/>
        <v>3. 6-10 yrs</v>
      </c>
      <c r="AK17" s="1" t="str">
        <f t="shared" si="4"/>
        <v>1. Low</v>
      </c>
      <c r="AL17" s="1" t="str">
        <f t="shared" si="5"/>
        <v>3. Better</v>
      </c>
    </row>
    <row r="18" spans="1:38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f t="shared" si="0"/>
        <v>0</v>
      </c>
      <c r="AH18" t="str">
        <f t="shared" si="1"/>
        <v>26-35</v>
      </c>
      <c r="AI18" t="str">
        <f t="shared" si="2"/>
        <v>2. 3K-6K</v>
      </c>
      <c r="AJ18" s="1" t="str">
        <f t="shared" si="3"/>
        <v>3. 6-10 yrs</v>
      </c>
      <c r="AK18" s="1" t="str">
        <f t="shared" si="4"/>
        <v>2. Medium</v>
      </c>
      <c r="AL18" s="1" t="str">
        <f t="shared" si="5"/>
        <v>2. Good</v>
      </c>
    </row>
    <row r="19" spans="1:38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f t="shared" si="0"/>
        <v>0</v>
      </c>
      <c r="AH19" t="str">
        <f t="shared" si="1"/>
        <v>18-25</v>
      </c>
      <c r="AI19" t="str">
        <f t="shared" si="2"/>
        <v>1. Under 3K</v>
      </c>
      <c r="AJ19" s="1" t="str">
        <f t="shared" si="3"/>
        <v>1. 0-1 yrs</v>
      </c>
      <c r="AK19" s="1" t="str">
        <f t="shared" si="4"/>
        <v>4. Very High</v>
      </c>
      <c r="AL19" s="1" t="str">
        <f t="shared" si="5"/>
        <v>2. Good</v>
      </c>
    </row>
    <row r="20" spans="1:38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f t="shared" si="0"/>
        <v>0</v>
      </c>
      <c r="AH20" t="str">
        <f t="shared" si="1"/>
        <v>46-55</v>
      </c>
      <c r="AI20" t="str">
        <f t="shared" si="2"/>
        <v>4. 10K+</v>
      </c>
      <c r="AJ20" s="1" t="str">
        <f t="shared" si="3"/>
        <v>4. 10+ yrs</v>
      </c>
      <c r="AK20" s="1" t="str">
        <f t="shared" si="4"/>
        <v>4. Very High</v>
      </c>
      <c r="AL20" s="1" t="str">
        <f t="shared" si="5"/>
        <v>3. Better</v>
      </c>
    </row>
    <row r="21" spans="1:38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f t="shared" si="0"/>
        <v>0</v>
      </c>
      <c r="AH21" t="str">
        <f t="shared" si="1"/>
        <v>36-45</v>
      </c>
      <c r="AI21" t="str">
        <f t="shared" si="2"/>
        <v>2. 3K-6K</v>
      </c>
      <c r="AJ21" s="1" t="str">
        <f t="shared" si="3"/>
        <v>2. 2-5 yrs</v>
      </c>
      <c r="AK21" s="1" t="str">
        <f t="shared" si="4"/>
        <v>4. Very High</v>
      </c>
      <c r="AL21" s="1" t="str">
        <f t="shared" si="5"/>
        <v>3. Better</v>
      </c>
    </row>
    <row r="22" spans="1:38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f t="shared" si="0"/>
        <v>0</v>
      </c>
      <c r="AH22" t="str">
        <f t="shared" si="1"/>
        <v>18-25</v>
      </c>
      <c r="AI22" t="str">
        <f t="shared" si="2"/>
        <v>2. 3K-6K</v>
      </c>
      <c r="AJ22" s="1" t="str">
        <f t="shared" si="3"/>
        <v>2. 2-5 yrs</v>
      </c>
      <c r="AK22" s="1" t="str">
        <f t="shared" si="4"/>
        <v>3. High</v>
      </c>
      <c r="AL22" s="1" t="str">
        <f t="shared" si="5"/>
        <v>2. Good</v>
      </c>
    </row>
    <row r="23" spans="1:38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f t="shared" si="0"/>
        <v>1</v>
      </c>
      <c r="AH23" t="str">
        <f t="shared" si="1"/>
        <v>36-45</v>
      </c>
      <c r="AI23" t="str">
        <f t="shared" si="2"/>
        <v>2. 3K-6K</v>
      </c>
      <c r="AJ23" s="1" t="str">
        <f t="shared" si="3"/>
        <v>2. 2-5 yrs</v>
      </c>
      <c r="AK23" s="1" t="str">
        <f t="shared" si="4"/>
        <v>1. Low</v>
      </c>
      <c r="AL23" s="1" t="str">
        <f t="shared" si="5"/>
        <v>3. Better</v>
      </c>
    </row>
    <row r="24" spans="1:38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f t="shared" si="0"/>
        <v>0</v>
      </c>
      <c r="AH24" t="str">
        <f t="shared" si="1"/>
        <v>26-35</v>
      </c>
      <c r="AI24" t="str">
        <f t="shared" si="2"/>
        <v>4. 10K+</v>
      </c>
      <c r="AJ24" s="1" t="str">
        <f t="shared" si="3"/>
        <v>4. 10+ yrs</v>
      </c>
      <c r="AK24" s="1" t="str">
        <f t="shared" si="4"/>
        <v>2. Medium</v>
      </c>
      <c r="AL24" s="1" t="str">
        <f t="shared" si="5"/>
        <v>3. Better</v>
      </c>
    </row>
    <row r="25" spans="1:38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f t="shared" si="0"/>
        <v>0</v>
      </c>
      <c r="AH25" t="str">
        <f t="shared" si="1"/>
        <v>18-25</v>
      </c>
      <c r="AI25" t="str">
        <f t="shared" si="2"/>
        <v>1. Under 3K</v>
      </c>
      <c r="AJ25" s="1" t="str">
        <f t="shared" si="3"/>
        <v>1. 0-1 yrs</v>
      </c>
      <c r="AK25" s="1" t="str">
        <f t="shared" si="4"/>
        <v>4. Very High</v>
      </c>
      <c r="AL25" s="1" t="str">
        <f t="shared" si="5"/>
        <v>3. Better</v>
      </c>
    </row>
    <row r="26" spans="1:38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f t="shared" si="0"/>
        <v>1</v>
      </c>
      <c r="AH26" t="str">
        <f t="shared" si="1"/>
        <v>26-35</v>
      </c>
      <c r="AI26" t="str">
        <f t="shared" si="2"/>
        <v>1. Under 3K</v>
      </c>
      <c r="AJ26" s="1" t="str">
        <f t="shared" si="3"/>
        <v>2. 2-5 yrs</v>
      </c>
      <c r="AK26" s="1" t="str">
        <f t="shared" si="4"/>
        <v>1. Low</v>
      </c>
      <c r="AL26" s="1" t="str">
        <f t="shared" si="5"/>
        <v>3. Better</v>
      </c>
    </row>
    <row r="27" spans="1:38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f t="shared" si="0"/>
        <v>0</v>
      </c>
      <c r="AH27" t="str">
        <f t="shared" si="1"/>
        <v>46-55</v>
      </c>
      <c r="AI27" t="str">
        <f t="shared" si="2"/>
        <v>4. 10K+</v>
      </c>
      <c r="AJ27" s="1" t="str">
        <f t="shared" si="3"/>
        <v>4. 10+ yrs</v>
      </c>
      <c r="AK27" s="1" t="str">
        <f t="shared" si="4"/>
        <v>3. High</v>
      </c>
      <c r="AL27" s="1" t="str">
        <f t="shared" si="5"/>
        <v>2. Good</v>
      </c>
    </row>
    <row r="28" spans="1:38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f t="shared" si="0"/>
        <v>1</v>
      </c>
      <c r="AH28" t="str">
        <f t="shared" si="1"/>
        <v>26-35</v>
      </c>
      <c r="AI28" t="str">
        <f t="shared" si="2"/>
        <v>2. 3K-6K</v>
      </c>
      <c r="AJ28" s="1" t="str">
        <f t="shared" si="3"/>
        <v>3. 6-10 yrs</v>
      </c>
      <c r="AK28" s="1" t="str">
        <f t="shared" si="4"/>
        <v>1. Low</v>
      </c>
      <c r="AL28" s="1" t="str">
        <f t="shared" si="5"/>
        <v>3. Better</v>
      </c>
    </row>
    <row r="29" spans="1:38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f t="shared" si="0"/>
        <v>0</v>
      </c>
      <c r="AH29" t="str">
        <f t="shared" si="1"/>
        <v>36-45</v>
      </c>
      <c r="AI29" t="str">
        <f t="shared" si="2"/>
        <v>3. 6K-10K</v>
      </c>
      <c r="AJ29" s="1" t="str">
        <f t="shared" si="3"/>
        <v>3. 6-10 yrs</v>
      </c>
      <c r="AK29" s="1" t="str">
        <f t="shared" si="4"/>
        <v>2. Medium</v>
      </c>
      <c r="AL29" s="1" t="str">
        <f t="shared" si="5"/>
        <v>3. Better</v>
      </c>
    </row>
    <row r="30" spans="1:38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f t="shared" si="0"/>
        <v>0</v>
      </c>
      <c r="AH30" t="str">
        <f t="shared" si="1"/>
        <v>36-45</v>
      </c>
      <c r="AI30" t="str">
        <f t="shared" si="2"/>
        <v>4. 10K+</v>
      </c>
      <c r="AJ30" s="1" t="str">
        <f t="shared" si="3"/>
        <v>4. 10+ yrs</v>
      </c>
      <c r="AK30" s="1" t="str">
        <f t="shared" si="4"/>
        <v>4. Very High</v>
      </c>
      <c r="AL30" s="1" t="str">
        <f t="shared" si="5"/>
        <v>3. Better</v>
      </c>
    </row>
    <row r="31" spans="1:38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f t="shared" si="0"/>
        <v>0</v>
      </c>
      <c r="AH31" t="str">
        <f t="shared" si="1"/>
        <v>46-55</v>
      </c>
      <c r="AI31" t="str">
        <f t="shared" si="2"/>
        <v>4. 10K+</v>
      </c>
      <c r="AJ31" s="1" t="str">
        <f t="shared" si="3"/>
        <v>2. 2-5 yrs</v>
      </c>
      <c r="AK31" s="1" t="str">
        <f t="shared" si="4"/>
        <v>1. Low</v>
      </c>
      <c r="AL31" s="1" t="str">
        <f t="shared" si="5"/>
        <v>2. Good</v>
      </c>
    </row>
    <row r="32" spans="1:38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f t="shared" si="0"/>
        <v>0</v>
      </c>
      <c r="AH32" t="str">
        <f t="shared" si="1"/>
        <v>26-35</v>
      </c>
      <c r="AI32" t="str">
        <f t="shared" si="2"/>
        <v>1. Under 3K</v>
      </c>
      <c r="AJ32" s="1" t="str">
        <f t="shared" si="3"/>
        <v>1. 0-1 yrs</v>
      </c>
      <c r="AK32" s="1" t="str">
        <f t="shared" si="4"/>
        <v>4. Very High</v>
      </c>
      <c r="AL32" s="1" t="str">
        <f t="shared" si="5"/>
        <v>3. Better</v>
      </c>
    </row>
    <row r="33" spans="1:38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f t="shared" si="0"/>
        <v>0</v>
      </c>
      <c r="AH33" t="str">
        <f t="shared" si="1"/>
        <v>36-45</v>
      </c>
      <c r="AI33" t="str">
        <f t="shared" si="2"/>
        <v>3. 6K-10K</v>
      </c>
      <c r="AJ33" s="1" t="str">
        <f t="shared" si="3"/>
        <v>2. 2-5 yrs</v>
      </c>
      <c r="AK33" s="1" t="str">
        <f t="shared" si="4"/>
        <v>4. Very High</v>
      </c>
      <c r="AL33" s="1" t="str">
        <f t="shared" si="5"/>
        <v>4. Best</v>
      </c>
    </row>
    <row r="34" spans="1:38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f t="shared" si="0"/>
        <v>0</v>
      </c>
      <c r="AH34" t="str">
        <f t="shared" si="1"/>
        <v>26-35</v>
      </c>
      <c r="AI34" t="str">
        <f t="shared" si="2"/>
        <v>1. Under 3K</v>
      </c>
      <c r="AJ34" s="1" t="str">
        <f t="shared" si="3"/>
        <v>3. 6-10 yrs</v>
      </c>
      <c r="AK34" s="1" t="str">
        <f t="shared" si="4"/>
        <v>3. High</v>
      </c>
      <c r="AL34" s="1" t="str">
        <f t="shared" si="5"/>
        <v>3. Better</v>
      </c>
    </row>
    <row r="35" spans="1:38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f t="shared" si="0"/>
        <v>1</v>
      </c>
      <c r="AH35" t="str">
        <f t="shared" si="1"/>
        <v>36-45</v>
      </c>
      <c r="AI35" t="str">
        <f t="shared" si="2"/>
        <v>1. Under 3K</v>
      </c>
      <c r="AJ35" s="1" t="str">
        <f t="shared" si="3"/>
        <v>1. 0-1 yrs</v>
      </c>
      <c r="AK35" s="1" t="str">
        <f t="shared" si="4"/>
        <v>4. Very High</v>
      </c>
      <c r="AL35" s="1" t="str">
        <f t="shared" si="5"/>
        <v>4. Best</v>
      </c>
    </row>
    <row r="36" spans="1:38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f t="shared" si="0"/>
        <v>1</v>
      </c>
      <c r="AH36" t="str">
        <f t="shared" si="1"/>
        <v>18-25</v>
      </c>
      <c r="AI36" t="str">
        <f t="shared" si="2"/>
        <v>1. Under 3K</v>
      </c>
      <c r="AJ36" s="1" t="str">
        <f t="shared" si="3"/>
        <v>2. 2-5 yrs</v>
      </c>
      <c r="AK36" s="1" t="str">
        <f t="shared" si="4"/>
        <v>4. Very High</v>
      </c>
      <c r="AL36" s="1" t="str">
        <f t="shared" si="5"/>
        <v>2. Good</v>
      </c>
    </row>
    <row r="37" spans="1:38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f t="shared" si="0"/>
        <v>0</v>
      </c>
      <c r="AH37" t="str">
        <f t="shared" si="1"/>
        <v>36-45</v>
      </c>
      <c r="AI37" t="str">
        <f t="shared" si="2"/>
        <v>1. Under 3K</v>
      </c>
      <c r="AJ37" s="1" t="str">
        <f t="shared" si="3"/>
        <v>2. 2-5 yrs</v>
      </c>
      <c r="AK37" s="1" t="str">
        <f t="shared" si="4"/>
        <v>3. High</v>
      </c>
      <c r="AL37" s="1" t="str">
        <f t="shared" si="5"/>
        <v>2. Good</v>
      </c>
    </row>
    <row r="38" spans="1:38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f t="shared" si="0"/>
        <v>1</v>
      </c>
      <c r="AH38" t="str">
        <f t="shared" si="1"/>
        <v>46-55</v>
      </c>
      <c r="AI38" t="str">
        <f t="shared" si="2"/>
        <v>1. Under 3K</v>
      </c>
      <c r="AJ38" s="1" t="str">
        <f t="shared" si="3"/>
        <v>2. 2-5 yrs</v>
      </c>
      <c r="AK38" s="1" t="str">
        <f t="shared" si="4"/>
        <v>3. High</v>
      </c>
      <c r="AL38" s="1" t="str">
        <f t="shared" si="5"/>
        <v>3. Better</v>
      </c>
    </row>
    <row r="39" spans="1:38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f t="shared" si="0"/>
        <v>0</v>
      </c>
      <c r="AH39" t="str">
        <f t="shared" si="1"/>
        <v>26-35</v>
      </c>
      <c r="AI39" t="str">
        <f t="shared" si="2"/>
        <v>1. Under 3K</v>
      </c>
      <c r="AJ39" s="1" t="str">
        <f t="shared" si="3"/>
        <v>2. 2-5 yrs</v>
      </c>
      <c r="AK39" s="1" t="str">
        <f t="shared" si="4"/>
        <v>4. Very High</v>
      </c>
      <c r="AL39" s="1" t="str">
        <f t="shared" si="5"/>
        <v>3. Better</v>
      </c>
    </row>
    <row r="40" spans="1:38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f t="shared" si="0"/>
        <v>0</v>
      </c>
      <c r="AH40" t="str">
        <f t="shared" si="1"/>
        <v>36-45</v>
      </c>
      <c r="AI40" t="str">
        <f t="shared" si="2"/>
        <v>2. 3K-6K</v>
      </c>
      <c r="AJ40" s="1" t="str">
        <f t="shared" si="3"/>
        <v>1. 0-1 yrs</v>
      </c>
      <c r="AK40" s="1" t="str">
        <f t="shared" si="4"/>
        <v>1. Low</v>
      </c>
      <c r="AL40" s="1" t="str">
        <f t="shared" si="5"/>
        <v>4. Best</v>
      </c>
    </row>
    <row r="41" spans="1:38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f t="shared" si="0"/>
        <v>0</v>
      </c>
      <c r="AH41" t="str">
        <f t="shared" si="1"/>
        <v>26-35</v>
      </c>
      <c r="AI41" t="str">
        <f t="shared" si="2"/>
        <v>2. 3K-6K</v>
      </c>
      <c r="AJ41" s="1" t="str">
        <f t="shared" si="3"/>
        <v>2. 2-5 yrs</v>
      </c>
      <c r="AK41" s="1" t="str">
        <f t="shared" si="4"/>
        <v>1. Low</v>
      </c>
      <c r="AL41" s="1" t="str">
        <f t="shared" si="5"/>
        <v>3. Better</v>
      </c>
    </row>
    <row r="42" spans="1:38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f t="shared" si="0"/>
        <v>0</v>
      </c>
      <c r="AH42" t="str">
        <f t="shared" si="1"/>
        <v>26-35</v>
      </c>
      <c r="AI42" t="str">
        <f t="shared" si="2"/>
        <v>1. Under 3K</v>
      </c>
      <c r="AJ42" s="1" t="str">
        <f t="shared" si="3"/>
        <v>1. 0-1 yrs</v>
      </c>
      <c r="AK42" s="1" t="str">
        <f t="shared" si="4"/>
        <v>4. Very High</v>
      </c>
      <c r="AL42" s="1" t="str">
        <f t="shared" si="5"/>
        <v>3. Better</v>
      </c>
    </row>
    <row r="43" spans="1:38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f t="shared" si="0"/>
        <v>0</v>
      </c>
      <c r="AH43" t="str">
        <f t="shared" si="1"/>
        <v>26-35</v>
      </c>
      <c r="AI43" t="str">
        <f t="shared" si="2"/>
        <v>1. Under 3K</v>
      </c>
      <c r="AJ43" s="1" t="str">
        <f t="shared" si="3"/>
        <v>1. 0-1 yrs</v>
      </c>
      <c r="AK43" s="1" t="str">
        <f t="shared" si="4"/>
        <v>1. Low</v>
      </c>
      <c r="AL43" s="1" t="str">
        <f t="shared" si="5"/>
        <v>3. Better</v>
      </c>
    </row>
    <row r="44" spans="1:38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f t="shared" si="0"/>
        <v>1</v>
      </c>
      <c r="AH44" t="str">
        <f t="shared" si="1"/>
        <v>26-35</v>
      </c>
      <c r="AI44" t="str">
        <f t="shared" si="2"/>
        <v>1. Under 3K</v>
      </c>
      <c r="AJ44" s="1" t="str">
        <f t="shared" si="3"/>
        <v>1. 0-1 yrs</v>
      </c>
      <c r="AK44" s="1" t="str">
        <f t="shared" si="4"/>
        <v>3. High</v>
      </c>
      <c r="AL44" s="1" t="str">
        <f t="shared" si="5"/>
        <v>2. Good</v>
      </c>
    </row>
    <row r="45" spans="1:38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f t="shared" si="0"/>
        <v>0</v>
      </c>
      <c r="AH45" t="str">
        <f t="shared" si="1"/>
        <v>26-35</v>
      </c>
      <c r="AI45" t="str">
        <f t="shared" si="2"/>
        <v>3. 6K-10K</v>
      </c>
      <c r="AJ45" s="1" t="str">
        <f t="shared" si="3"/>
        <v>3. 6-10 yrs</v>
      </c>
      <c r="AK45" s="1" t="str">
        <f t="shared" si="4"/>
        <v>3. High</v>
      </c>
      <c r="AL45" s="1" t="str">
        <f t="shared" si="5"/>
        <v>3. Better</v>
      </c>
    </row>
    <row r="46" spans="1:38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f t="shared" si="0"/>
        <v>0</v>
      </c>
      <c r="AH46" t="str">
        <f t="shared" si="1"/>
        <v>26-35</v>
      </c>
      <c r="AI46" t="str">
        <f t="shared" si="2"/>
        <v>2. 3K-6K</v>
      </c>
      <c r="AJ46" s="1" t="str">
        <f t="shared" si="3"/>
        <v>4. 10+ yrs</v>
      </c>
      <c r="AK46" s="1" t="str">
        <f t="shared" si="4"/>
        <v>4. Very High</v>
      </c>
      <c r="AL46" s="1" t="str">
        <f t="shared" si="5"/>
        <v>3. Better</v>
      </c>
    </row>
    <row r="47" spans="1:38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f t="shared" si="0"/>
        <v>1</v>
      </c>
      <c r="AH47" t="str">
        <f t="shared" si="1"/>
        <v>36-45</v>
      </c>
      <c r="AI47" t="str">
        <f t="shared" si="2"/>
        <v>4. 10K+</v>
      </c>
      <c r="AJ47" s="1" t="str">
        <f t="shared" si="3"/>
        <v>4. 10+ yrs</v>
      </c>
      <c r="AK47" s="1" t="str">
        <f t="shared" si="4"/>
        <v>3. High</v>
      </c>
      <c r="AL47" s="1" t="str">
        <f t="shared" si="5"/>
        <v>3. Better</v>
      </c>
    </row>
    <row r="48" spans="1:38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f t="shared" si="0"/>
        <v>0</v>
      </c>
      <c r="AH48" t="str">
        <f t="shared" si="1"/>
        <v>26-35</v>
      </c>
      <c r="AI48" t="str">
        <f t="shared" si="2"/>
        <v>2. 3K-6K</v>
      </c>
      <c r="AJ48" s="1" t="str">
        <f t="shared" si="3"/>
        <v>3. 6-10 yrs</v>
      </c>
      <c r="AK48" s="1" t="str">
        <f t="shared" si="4"/>
        <v>3. High</v>
      </c>
      <c r="AL48" s="1" t="str">
        <f t="shared" si="5"/>
        <v>3. Better</v>
      </c>
    </row>
    <row r="49" spans="1:38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f t="shared" si="0"/>
        <v>0</v>
      </c>
      <c r="AH49" t="str">
        <f t="shared" si="1"/>
        <v>36-45</v>
      </c>
      <c r="AI49" t="str">
        <f t="shared" si="2"/>
        <v>2. 3K-6K</v>
      </c>
      <c r="AJ49" s="1" t="str">
        <f t="shared" si="3"/>
        <v>1. 0-1 yrs</v>
      </c>
      <c r="AK49" s="1" t="str">
        <f t="shared" si="4"/>
        <v>2. Medium</v>
      </c>
      <c r="AL49" s="1" t="str">
        <f t="shared" si="5"/>
        <v>3. Better</v>
      </c>
    </row>
    <row r="50" spans="1:38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f t="shared" si="0"/>
        <v>0</v>
      </c>
      <c r="AH50" t="str">
        <f t="shared" si="1"/>
        <v>46-55</v>
      </c>
      <c r="AI50" t="str">
        <f t="shared" si="2"/>
        <v>2. 3K-6K</v>
      </c>
      <c r="AJ50" s="1" t="str">
        <f t="shared" si="3"/>
        <v>3. 6-10 yrs</v>
      </c>
      <c r="AK50" s="1" t="str">
        <f t="shared" si="4"/>
        <v>4. Very High</v>
      </c>
      <c r="AL50" s="1" t="str">
        <f t="shared" si="5"/>
        <v>3. Better</v>
      </c>
    </row>
    <row r="51" spans="1:38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f t="shared" si="0"/>
        <v>0</v>
      </c>
      <c r="AH51" t="str">
        <f t="shared" si="1"/>
        <v>26-35</v>
      </c>
      <c r="AI51" t="str">
        <f t="shared" si="2"/>
        <v>1. Under 3K</v>
      </c>
      <c r="AJ51" s="1" t="str">
        <f t="shared" si="3"/>
        <v>1. 0-1 yrs</v>
      </c>
      <c r="AK51" s="1" t="str">
        <f t="shared" si="4"/>
        <v>4. Very High</v>
      </c>
      <c r="AL51" s="1" t="str">
        <f t="shared" si="5"/>
        <v>3. Better</v>
      </c>
    </row>
    <row r="52" spans="1:38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f t="shared" si="0"/>
        <v>1</v>
      </c>
      <c r="AH52" t="str">
        <f t="shared" si="1"/>
        <v>46-55</v>
      </c>
      <c r="AI52" t="str">
        <f t="shared" si="2"/>
        <v>2. 3K-6K</v>
      </c>
      <c r="AJ52" s="1" t="str">
        <f t="shared" si="3"/>
        <v>1. 0-1 yrs</v>
      </c>
      <c r="AK52" s="1" t="str">
        <f t="shared" si="4"/>
        <v>3. High</v>
      </c>
      <c r="AL52" s="1" t="str">
        <f t="shared" si="5"/>
        <v>3. Better</v>
      </c>
    </row>
    <row r="53" spans="1:38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f t="shared" si="0"/>
        <v>1</v>
      </c>
      <c r="AH53" t="str">
        <f t="shared" si="1"/>
        <v>26-35</v>
      </c>
      <c r="AI53" t="str">
        <f t="shared" si="2"/>
        <v>2. 3K-6K</v>
      </c>
      <c r="AJ53" s="1" t="str">
        <f t="shared" si="3"/>
        <v>2. 2-5 yrs</v>
      </c>
      <c r="AK53" s="1" t="str">
        <f t="shared" si="4"/>
        <v>3. High</v>
      </c>
      <c r="AL53" s="1" t="str">
        <f t="shared" si="5"/>
        <v>2. Good</v>
      </c>
    </row>
    <row r="54" spans="1:38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f t="shared" si="0"/>
        <v>0</v>
      </c>
      <c r="AH54" t="str">
        <f t="shared" si="1"/>
        <v>36-45</v>
      </c>
      <c r="AI54" t="str">
        <f t="shared" si="2"/>
        <v>2. 3K-6K</v>
      </c>
      <c r="AJ54" s="1" t="str">
        <f t="shared" si="3"/>
        <v>2. 2-5 yrs</v>
      </c>
      <c r="AK54" s="1" t="str">
        <f t="shared" si="4"/>
        <v>1. Low</v>
      </c>
      <c r="AL54" s="1" t="str">
        <f t="shared" si="5"/>
        <v>2. Good</v>
      </c>
    </row>
    <row r="55" spans="1:38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f t="shared" si="0"/>
        <v>0</v>
      </c>
      <c r="AH55" t="str">
        <f t="shared" si="1"/>
        <v>26-35</v>
      </c>
      <c r="AI55" t="str">
        <f t="shared" si="2"/>
        <v>3. 6K-10K</v>
      </c>
      <c r="AJ55" s="1" t="str">
        <f t="shared" si="3"/>
        <v>2. 2-5 yrs</v>
      </c>
      <c r="AK55" s="1" t="str">
        <f t="shared" si="4"/>
        <v>1. Low</v>
      </c>
      <c r="AL55" s="1" t="str">
        <f t="shared" si="5"/>
        <v>3. Better</v>
      </c>
    </row>
    <row r="56" spans="1:38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f t="shared" si="0"/>
        <v>0</v>
      </c>
      <c r="AH56" t="str">
        <f t="shared" si="1"/>
        <v>26-35</v>
      </c>
      <c r="AI56" t="str">
        <f t="shared" si="2"/>
        <v>2. 3K-6K</v>
      </c>
      <c r="AJ56" s="1" t="str">
        <f t="shared" si="3"/>
        <v>2. 2-5 yrs</v>
      </c>
      <c r="AK56" s="1" t="str">
        <f t="shared" si="4"/>
        <v>4. Very High</v>
      </c>
      <c r="AL56" s="1" t="str">
        <f t="shared" si="5"/>
        <v>2. Good</v>
      </c>
    </row>
    <row r="57" spans="1:38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f t="shared" si="0"/>
        <v>0</v>
      </c>
      <c r="AH57" t="str">
        <f t="shared" si="1"/>
        <v>26-35</v>
      </c>
      <c r="AI57" t="str">
        <f t="shared" si="2"/>
        <v>4. 10K+</v>
      </c>
      <c r="AJ57" s="1" t="str">
        <f t="shared" si="3"/>
        <v>4. 10+ yrs</v>
      </c>
      <c r="AK57" s="1" t="str">
        <f t="shared" si="4"/>
        <v>4. Very High</v>
      </c>
      <c r="AL57" s="1" t="str">
        <f t="shared" si="5"/>
        <v>3. Better</v>
      </c>
    </row>
    <row r="58" spans="1:38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f t="shared" si="0"/>
        <v>0</v>
      </c>
      <c r="AH58" t="str">
        <f t="shared" si="1"/>
        <v>26-35</v>
      </c>
      <c r="AI58" t="str">
        <f t="shared" si="2"/>
        <v>3. 6K-10K</v>
      </c>
      <c r="AJ58" s="1" t="str">
        <f t="shared" si="3"/>
        <v>3. 6-10 yrs</v>
      </c>
      <c r="AK58" s="1" t="str">
        <f t="shared" si="4"/>
        <v>1. Low</v>
      </c>
      <c r="AL58" s="1" t="str">
        <f t="shared" si="5"/>
        <v>2. Good</v>
      </c>
    </row>
    <row r="59" spans="1:38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f t="shared" si="0"/>
        <v>0</v>
      </c>
      <c r="AH59" t="str">
        <f t="shared" si="1"/>
        <v>26-35</v>
      </c>
      <c r="AI59" t="str">
        <f t="shared" si="2"/>
        <v>2. 3K-6K</v>
      </c>
      <c r="AJ59" s="1" t="str">
        <f t="shared" si="3"/>
        <v>2. 2-5 yrs</v>
      </c>
      <c r="AK59" s="1" t="str">
        <f t="shared" si="4"/>
        <v>1. Low</v>
      </c>
      <c r="AL59" s="1" t="str">
        <f t="shared" si="5"/>
        <v>3. Better</v>
      </c>
    </row>
    <row r="60" spans="1:38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f t="shared" si="0"/>
        <v>0</v>
      </c>
      <c r="AH60" t="str">
        <f t="shared" si="1"/>
        <v>26-35</v>
      </c>
      <c r="AI60" t="str">
        <f t="shared" si="2"/>
        <v>2. 3K-6K</v>
      </c>
      <c r="AJ60" s="1" t="str">
        <f t="shared" si="3"/>
        <v>3. 6-10 yrs</v>
      </c>
      <c r="AK60" s="1" t="str">
        <f t="shared" si="4"/>
        <v>4. Very High</v>
      </c>
      <c r="AL60" s="1" t="str">
        <f t="shared" si="5"/>
        <v>2. Good</v>
      </c>
    </row>
    <row r="61" spans="1:38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f t="shared" si="0"/>
        <v>0</v>
      </c>
      <c r="AH61" t="str">
        <f t="shared" si="1"/>
        <v>36-45</v>
      </c>
      <c r="AI61" t="str">
        <f t="shared" si="2"/>
        <v>2. 3K-6K</v>
      </c>
      <c r="AJ61" s="1" t="str">
        <f t="shared" si="3"/>
        <v>3. 6-10 yrs</v>
      </c>
      <c r="AK61" s="1" t="str">
        <f t="shared" si="4"/>
        <v>3. High</v>
      </c>
      <c r="AL61" s="1" t="str">
        <f t="shared" si="5"/>
        <v>4. Best</v>
      </c>
    </row>
    <row r="62" spans="1:38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f t="shared" si="0"/>
        <v>0</v>
      </c>
      <c r="AH62" t="str">
        <f t="shared" si="1"/>
        <v>26-35</v>
      </c>
      <c r="AI62" t="str">
        <f t="shared" si="2"/>
        <v>3. 6K-10K</v>
      </c>
      <c r="AJ62" s="1" t="str">
        <f t="shared" si="3"/>
        <v>3. 6-10 yrs</v>
      </c>
      <c r="AK62" s="1" t="str">
        <f t="shared" si="4"/>
        <v>4. Very High</v>
      </c>
      <c r="AL62" s="1" t="str">
        <f t="shared" si="5"/>
        <v>3. Better</v>
      </c>
    </row>
    <row r="63" spans="1:38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f t="shared" si="0"/>
        <v>0</v>
      </c>
      <c r="AH63" t="str">
        <f t="shared" si="1"/>
        <v>36-45</v>
      </c>
      <c r="AI63" t="str">
        <f t="shared" si="2"/>
        <v>1. Under 3K</v>
      </c>
      <c r="AJ63" s="1" t="str">
        <f t="shared" si="3"/>
        <v>3. 6-10 yrs</v>
      </c>
      <c r="AK63" s="1" t="str">
        <f t="shared" si="4"/>
        <v>4. Very High</v>
      </c>
      <c r="AL63" s="1" t="str">
        <f t="shared" si="5"/>
        <v>3. Better</v>
      </c>
    </row>
    <row r="64" spans="1:38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f t="shared" si="0"/>
        <v>0</v>
      </c>
      <c r="AH64" t="str">
        <f t="shared" si="1"/>
        <v>46-55</v>
      </c>
      <c r="AI64" t="str">
        <f t="shared" si="2"/>
        <v>4. 10K+</v>
      </c>
      <c r="AJ64" s="1" t="str">
        <f t="shared" si="3"/>
        <v>4. 10+ yrs</v>
      </c>
      <c r="AK64" s="1" t="str">
        <f t="shared" si="4"/>
        <v>3. High</v>
      </c>
      <c r="AL64" s="1" t="str">
        <f t="shared" si="5"/>
        <v>2. Good</v>
      </c>
    </row>
    <row r="65" spans="1:38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f t="shared" si="0"/>
        <v>0</v>
      </c>
      <c r="AH65" t="str">
        <f t="shared" si="1"/>
        <v>56+</v>
      </c>
      <c r="AI65" t="str">
        <f t="shared" si="2"/>
        <v>3. 6K-10K</v>
      </c>
      <c r="AJ65" s="1" t="str">
        <f t="shared" si="3"/>
        <v>4. 10+ yrs</v>
      </c>
      <c r="AK65" s="1" t="str">
        <f t="shared" si="4"/>
        <v>1. Low</v>
      </c>
      <c r="AL65" s="1" t="str">
        <f t="shared" si="5"/>
        <v>2. Good</v>
      </c>
    </row>
    <row r="66" spans="1:38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f t="shared" ref="AG66:AG129" si="6">IF(B66="Yes",1,0)</f>
        <v>0</v>
      </c>
      <c r="AH66" t="str">
        <f t="shared" ref="AH66:AH129" si="7">IF(A66&lt;26,"18-25",IF(A66&lt;36,"26-35",IF(A66&lt;46,"36-45",IF(A66&lt;56,"46-55","56+"))))</f>
        <v>36-45</v>
      </c>
      <c r="AI66" t="str">
        <f t="shared" ref="AI66:AI129" si="8">IF(R66&lt;3000,"1. Under 3K",IF(R66&lt;6000,"2. 3K-6K",IF(R66&lt;10000,"3. 6K-10K","4. 10K+")))</f>
        <v>4. 10K+</v>
      </c>
      <c r="AJ66" s="1" t="str">
        <f t="shared" ref="AJ66:AJ129" si="9">IF(AC66&lt;2,"1. 0-1 yrs",IF(AC66&lt;6,"2. 2-5 yrs",IF(AC66&lt;11,"3. 6-10 yrs","4. 10+ yrs")))</f>
        <v>4. 10+ yrs</v>
      </c>
      <c r="AK66" s="1" t="str">
        <f t="shared" ref="AK66:AK129" si="10">CHOOSE(P66,"1. Low","2. Medium","3. High","4. Very High")</f>
        <v>3. High</v>
      </c>
      <c r="AL66" s="1" t="str">
        <f t="shared" ref="AL66:AL129" si="11">CHOOSE(AB66,"1. Bad","2. Good","3. Better","4. Best")</f>
        <v>3. Better</v>
      </c>
    </row>
    <row r="67" spans="1:38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f t="shared" si="6"/>
        <v>0</v>
      </c>
      <c r="AH67" t="str">
        <f t="shared" si="7"/>
        <v>46-55</v>
      </c>
      <c r="AI67" t="str">
        <f t="shared" si="8"/>
        <v>4. 10K+</v>
      </c>
      <c r="AJ67" s="1" t="str">
        <f t="shared" si="9"/>
        <v>2. 2-5 yrs</v>
      </c>
      <c r="AK67" s="1" t="str">
        <f t="shared" si="10"/>
        <v>3. High</v>
      </c>
      <c r="AL67" s="1" t="str">
        <f t="shared" si="11"/>
        <v>3. Better</v>
      </c>
    </row>
    <row r="68" spans="1:38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f t="shared" si="6"/>
        <v>0</v>
      </c>
      <c r="AH68" t="str">
        <f t="shared" si="7"/>
        <v>36-45</v>
      </c>
      <c r="AI68" t="str">
        <f t="shared" si="8"/>
        <v>3. 6K-10K</v>
      </c>
      <c r="AJ68" s="1" t="str">
        <f t="shared" si="9"/>
        <v>3. 6-10 yrs</v>
      </c>
      <c r="AK68" s="1" t="str">
        <f t="shared" si="10"/>
        <v>2. Medium</v>
      </c>
      <c r="AL68" s="1" t="str">
        <f t="shared" si="11"/>
        <v>3. Better</v>
      </c>
    </row>
    <row r="69" spans="1:38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f t="shared" si="6"/>
        <v>0</v>
      </c>
      <c r="AH69" t="str">
        <f t="shared" si="7"/>
        <v>36-45</v>
      </c>
      <c r="AI69" t="str">
        <f t="shared" si="8"/>
        <v>3. 6K-10K</v>
      </c>
      <c r="AJ69" s="1" t="str">
        <f t="shared" si="9"/>
        <v>1. 0-1 yrs</v>
      </c>
      <c r="AK69" s="1" t="str">
        <f t="shared" si="10"/>
        <v>1. Low</v>
      </c>
      <c r="AL69" s="1" t="str">
        <f t="shared" si="11"/>
        <v>3. Better</v>
      </c>
    </row>
    <row r="70" spans="1:38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f t="shared" si="6"/>
        <v>0</v>
      </c>
      <c r="AH70" t="str">
        <f t="shared" si="7"/>
        <v>26-35</v>
      </c>
      <c r="AI70" t="str">
        <f t="shared" si="8"/>
        <v>1. Under 3K</v>
      </c>
      <c r="AJ70" s="1" t="str">
        <f t="shared" si="9"/>
        <v>2. 2-5 yrs</v>
      </c>
      <c r="AK70" s="1" t="str">
        <f t="shared" si="10"/>
        <v>1. Low</v>
      </c>
      <c r="AL70" s="1" t="str">
        <f t="shared" si="11"/>
        <v>2. Good</v>
      </c>
    </row>
    <row r="71" spans="1:38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f t="shared" si="6"/>
        <v>1</v>
      </c>
      <c r="AH71" t="str">
        <f t="shared" si="7"/>
        <v>36-45</v>
      </c>
      <c r="AI71" t="str">
        <f t="shared" si="8"/>
        <v>2. 3K-6K</v>
      </c>
      <c r="AJ71" s="1" t="str">
        <f t="shared" si="9"/>
        <v>1. 0-1 yrs</v>
      </c>
      <c r="AK71" s="1" t="str">
        <f t="shared" si="10"/>
        <v>3. High</v>
      </c>
      <c r="AL71" s="1" t="str">
        <f t="shared" si="11"/>
        <v>2. Good</v>
      </c>
    </row>
    <row r="72" spans="1:38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f t="shared" si="6"/>
        <v>0</v>
      </c>
      <c r="AH72" t="str">
        <f t="shared" si="7"/>
        <v>56+</v>
      </c>
      <c r="AI72" t="str">
        <f t="shared" si="8"/>
        <v>2. 3K-6K</v>
      </c>
      <c r="AJ72" s="1" t="str">
        <f t="shared" si="9"/>
        <v>2. 2-5 yrs</v>
      </c>
      <c r="AK72" s="1" t="str">
        <f t="shared" si="10"/>
        <v>3. High</v>
      </c>
      <c r="AL72" s="1" t="str">
        <f t="shared" si="11"/>
        <v>2. Good</v>
      </c>
    </row>
    <row r="73" spans="1:38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f t="shared" si="6"/>
        <v>0</v>
      </c>
      <c r="AH73" t="str">
        <f t="shared" si="7"/>
        <v>26-35</v>
      </c>
      <c r="AI73" t="str">
        <f t="shared" si="8"/>
        <v>1. Under 3K</v>
      </c>
      <c r="AJ73" s="1" t="str">
        <f t="shared" si="9"/>
        <v>2. 2-5 yrs</v>
      </c>
      <c r="AK73" s="1" t="str">
        <f t="shared" si="10"/>
        <v>2. Medium</v>
      </c>
      <c r="AL73" s="1" t="str">
        <f t="shared" si="11"/>
        <v>3. Better</v>
      </c>
    </row>
    <row r="74" spans="1:38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f t="shared" si="6"/>
        <v>0</v>
      </c>
      <c r="AH74" t="str">
        <f t="shared" si="7"/>
        <v>26-35</v>
      </c>
      <c r="AI74" t="str">
        <f t="shared" si="8"/>
        <v>1. Under 3K</v>
      </c>
      <c r="AJ74" s="1" t="str">
        <f t="shared" si="9"/>
        <v>1. 0-1 yrs</v>
      </c>
      <c r="AK74" s="1" t="str">
        <f t="shared" si="10"/>
        <v>2. Medium</v>
      </c>
      <c r="AL74" s="1" t="str">
        <f t="shared" si="11"/>
        <v>3. Better</v>
      </c>
    </row>
    <row r="75" spans="1:38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f t="shared" si="6"/>
        <v>0</v>
      </c>
      <c r="AH75" t="str">
        <f t="shared" si="7"/>
        <v>26-35</v>
      </c>
      <c r="AI75" t="str">
        <f t="shared" si="8"/>
        <v>3. 6K-10K</v>
      </c>
      <c r="AJ75" s="1" t="str">
        <f t="shared" si="9"/>
        <v>3. 6-10 yrs</v>
      </c>
      <c r="AK75" s="1" t="str">
        <f t="shared" si="10"/>
        <v>2. Medium</v>
      </c>
      <c r="AL75" s="1" t="str">
        <f t="shared" si="11"/>
        <v>3. Better</v>
      </c>
    </row>
    <row r="76" spans="1:38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f t="shared" si="6"/>
        <v>0</v>
      </c>
      <c r="AH76" t="str">
        <f t="shared" si="7"/>
        <v>36-45</v>
      </c>
      <c r="AI76" t="str">
        <f t="shared" si="8"/>
        <v>2. 3K-6K</v>
      </c>
      <c r="AJ76" s="1" t="str">
        <f t="shared" si="9"/>
        <v>1. 0-1 yrs</v>
      </c>
      <c r="AK76" s="1" t="str">
        <f t="shared" si="10"/>
        <v>4. Very High</v>
      </c>
      <c r="AL76" s="1" t="str">
        <f t="shared" si="11"/>
        <v>3. Better</v>
      </c>
    </row>
    <row r="77" spans="1:38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f t="shared" si="6"/>
        <v>0</v>
      </c>
      <c r="AH77" t="str">
        <f t="shared" si="7"/>
        <v>26-35</v>
      </c>
      <c r="AI77" t="str">
        <f t="shared" si="8"/>
        <v>2. 3K-6K</v>
      </c>
      <c r="AJ77" s="1" t="str">
        <f t="shared" si="9"/>
        <v>4. 10+ yrs</v>
      </c>
      <c r="AK77" s="1" t="str">
        <f t="shared" si="10"/>
        <v>4. Very High</v>
      </c>
      <c r="AL77" s="1" t="str">
        <f t="shared" si="11"/>
        <v>3. Better</v>
      </c>
    </row>
    <row r="78" spans="1:38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f t="shared" si="6"/>
        <v>0</v>
      </c>
      <c r="AH78" t="str">
        <f t="shared" si="7"/>
        <v>26-35</v>
      </c>
      <c r="AI78" t="str">
        <f t="shared" si="8"/>
        <v>2. 3K-6K</v>
      </c>
      <c r="AJ78" s="1" t="str">
        <f t="shared" si="9"/>
        <v>4. 10+ yrs</v>
      </c>
      <c r="AK78" s="1" t="str">
        <f t="shared" si="10"/>
        <v>1. Low</v>
      </c>
      <c r="AL78" s="1" t="str">
        <f t="shared" si="11"/>
        <v>3. Better</v>
      </c>
    </row>
    <row r="79" spans="1:38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f t="shared" si="6"/>
        <v>0</v>
      </c>
      <c r="AH79" t="str">
        <f t="shared" si="7"/>
        <v>36-45</v>
      </c>
      <c r="AI79" t="str">
        <f t="shared" si="8"/>
        <v>4. 10K+</v>
      </c>
      <c r="AJ79" s="1" t="str">
        <f t="shared" si="9"/>
        <v>1. 0-1 yrs</v>
      </c>
      <c r="AK79" s="1" t="str">
        <f t="shared" si="10"/>
        <v>1. Low</v>
      </c>
      <c r="AL79" s="1" t="str">
        <f t="shared" si="11"/>
        <v>4. Best</v>
      </c>
    </row>
    <row r="80" spans="1:38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f t="shared" si="6"/>
        <v>0</v>
      </c>
      <c r="AH80" t="str">
        <f t="shared" si="7"/>
        <v>36-45</v>
      </c>
      <c r="AI80" t="str">
        <f t="shared" si="8"/>
        <v>4. 10K+</v>
      </c>
      <c r="AJ80" s="1" t="str">
        <f t="shared" si="9"/>
        <v>2. 2-5 yrs</v>
      </c>
      <c r="AK80" s="1" t="str">
        <f t="shared" si="10"/>
        <v>3. High</v>
      </c>
      <c r="AL80" s="1" t="str">
        <f t="shared" si="11"/>
        <v>4. Best</v>
      </c>
    </row>
    <row r="81" spans="1:38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f t="shared" si="6"/>
        <v>0</v>
      </c>
      <c r="AH81" t="str">
        <f t="shared" si="7"/>
        <v>46-55</v>
      </c>
      <c r="AI81" t="str">
        <f t="shared" si="8"/>
        <v>2. 3K-6K</v>
      </c>
      <c r="AJ81" s="1" t="str">
        <f t="shared" si="9"/>
        <v>2. 2-5 yrs</v>
      </c>
      <c r="AK81" s="1" t="str">
        <f t="shared" si="10"/>
        <v>2. Medium</v>
      </c>
      <c r="AL81" s="1" t="str">
        <f t="shared" si="11"/>
        <v>3. Better</v>
      </c>
    </row>
    <row r="82" spans="1:38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f t="shared" si="6"/>
        <v>0</v>
      </c>
      <c r="AH82" t="str">
        <f t="shared" si="7"/>
        <v>26-35</v>
      </c>
      <c r="AI82" t="str">
        <f t="shared" si="8"/>
        <v>2. 3K-6K</v>
      </c>
      <c r="AJ82" s="1" t="str">
        <f t="shared" si="9"/>
        <v>3. 6-10 yrs</v>
      </c>
      <c r="AK82" s="1" t="str">
        <f t="shared" si="10"/>
        <v>4. Very High</v>
      </c>
      <c r="AL82" s="1" t="str">
        <f t="shared" si="11"/>
        <v>2. Good</v>
      </c>
    </row>
    <row r="83" spans="1:38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f t="shared" si="6"/>
        <v>0</v>
      </c>
      <c r="AH83" t="str">
        <f t="shared" si="7"/>
        <v>26-35</v>
      </c>
      <c r="AI83" t="str">
        <f t="shared" si="8"/>
        <v>1. Under 3K</v>
      </c>
      <c r="AJ83" s="1" t="str">
        <f t="shared" si="9"/>
        <v>3. 6-10 yrs</v>
      </c>
      <c r="AK83" s="1" t="str">
        <f t="shared" si="10"/>
        <v>3. High</v>
      </c>
      <c r="AL83" s="1" t="str">
        <f t="shared" si="11"/>
        <v>3. Better</v>
      </c>
    </row>
    <row r="84" spans="1:38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f t="shared" si="6"/>
        <v>0</v>
      </c>
      <c r="AH84" t="str">
        <f t="shared" si="7"/>
        <v>46-55</v>
      </c>
      <c r="AI84" t="str">
        <f t="shared" si="8"/>
        <v>4. 10K+</v>
      </c>
      <c r="AJ84" s="1" t="str">
        <f t="shared" si="9"/>
        <v>1. 0-1 yrs</v>
      </c>
      <c r="AK84" s="1" t="str">
        <f t="shared" si="10"/>
        <v>4. Very High</v>
      </c>
      <c r="AL84" s="1" t="str">
        <f t="shared" si="11"/>
        <v>3. Better</v>
      </c>
    </row>
    <row r="85" spans="1:38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f t="shared" si="6"/>
        <v>0</v>
      </c>
      <c r="AH85" t="str">
        <f t="shared" si="7"/>
        <v>36-45</v>
      </c>
      <c r="AI85" t="str">
        <f t="shared" si="8"/>
        <v>2. 3K-6K</v>
      </c>
      <c r="AJ85" s="1" t="str">
        <f t="shared" si="9"/>
        <v>4. 10+ yrs</v>
      </c>
      <c r="AK85" s="1" t="str">
        <f t="shared" si="10"/>
        <v>4. Very High</v>
      </c>
      <c r="AL85" s="1" t="str">
        <f t="shared" si="11"/>
        <v>3. Better</v>
      </c>
    </row>
    <row r="86" spans="1:38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f t="shared" si="6"/>
        <v>0</v>
      </c>
      <c r="AH86" t="str">
        <f t="shared" si="7"/>
        <v>26-35</v>
      </c>
      <c r="AI86" t="str">
        <f t="shared" si="8"/>
        <v>2. 3K-6K</v>
      </c>
      <c r="AJ86" s="1" t="str">
        <f t="shared" si="9"/>
        <v>2. 2-5 yrs</v>
      </c>
      <c r="AK86" s="1" t="str">
        <f t="shared" si="10"/>
        <v>2. Medium</v>
      </c>
      <c r="AL86" s="1" t="str">
        <f t="shared" si="11"/>
        <v>3. Better</v>
      </c>
    </row>
    <row r="87" spans="1:38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f t="shared" si="6"/>
        <v>0</v>
      </c>
      <c r="AH87" t="str">
        <f t="shared" si="7"/>
        <v>56+</v>
      </c>
      <c r="AI87" t="str">
        <f t="shared" si="8"/>
        <v>3. 6K-10K</v>
      </c>
      <c r="AJ87" s="1" t="str">
        <f t="shared" si="9"/>
        <v>3. 6-10 yrs</v>
      </c>
      <c r="AK87" s="1" t="str">
        <f t="shared" si="10"/>
        <v>4. Very High</v>
      </c>
      <c r="AL87" s="1" t="str">
        <f t="shared" si="11"/>
        <v>2. Good</v>
      </c>
    </row>
    <row r="88" spans="1:38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f t="shared" si="6"/>
        <v>0</v>
      </c>
      <c r="AH88" t="str">
        <f t="shared" si="7"/>
        <v>18-25</v>
      </c>
      <c r="AI88" t="str">
        <f t="shared" si="8"/>
        <v>1. Under 3K</v>
      </c>
      <c r="AJ88" s="1" t="str">
        <f t="shared" si="9"/>
        <v>1. 0-1 yrs</v>
      </c>
      <c r="AK88" s="1" t="str">
        <f t="shared" si="10"/>
        <v>1. Low</v>
      </c>
      <c r="AL88" s="1" t="str">
        <f t="shared" si="11"/>
        <v>3. Better</v>
      </c>
    </row>
    <row r="89" spans="1:38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f t="shared" si="6"/>
        <v>0</v>
      </c>
      <c r="AH89" t="str">
        <f t="shared" si="7"/>
        <v>46-55</v>
      </c>
      <c r="AI89" t="str">
        <f t="shared" si="8"/>
        <v>1. Under 3K</v>
      </c>
      <c r="AJ89" s="1" t="str">
        <f t="shared" si="9"/>
        <v>2. 2-5 yrs</v>
      </c>
      <c r="AK89" s="1" t="str">
        <f t="shared" si="10"/>
        <v>4. Very High</v>
      </c>
      <c r="AL89" s="1" t="str">
        <f t="shared" si="11"/>
        <v>3. Better</v>
      </c>
    </row>
    <row r="90" spans="1:38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f t="shared" si="6"/>
        <v>0</v>
      </c>
      <c r="AH90" t="str">
        <f t="shared" si="7"/>
        <v>26-35</v>
      </c>
      <c r="AI90" t="str">
        <f t="shared" si="8"/>
        <v>2. 3K-6K</v>
      </c>
      <c r="AJ90" s="1" t="str">
        <f t="shared" si="9"/>
        <v>4. 10+ yrs</v>
      </c>
      <c r="AK90" s="1" t="str">
        <f t="shared" si="10"/>
        <v>4. Very High</v>
      </c>
      <c r="AL90" s="1" t="str">
        <f t="shared" si="11"/>
        <v>3. Better</v>
      </c>
    </row>
    <row r="91" spans="1:38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f t="shared" si="6"/>
        <v>1</v>
      </c>
      <c r="AH91" t="str">
        <f t="shared" si="7"/>
        <v>46-55</v>
      </c>
      <c r="AI91" t="str">
        <f t="shared" si="8"/>
        <v>3. 6K-10K</v>
      </c>
      <c r="AJ91" s="1" t="str">
        <f t="shared" si="9"/>
        <v>3. 6-10 yrs</v>
      </c>
      <c r="AK91" s="1" t="str">
        <f t="shared" si="10"/>
        <v>4. Very High</v>
      </c>
      <c r="AL91" s="1" t="str">
        <f t="shared" si="11"/>
        <v>3. Better</v>
      </c>
    </row>
    <row r="92" spans="1:38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f t="shared" si="6"/>
        <v>0</v>
      </c>
      <c r="AH92" t="str">
        <f t="shared" si="7"/>
        <v>36-45</v>
      </c>
      <c r="AI92" t="str">
        <f t="shared" si="8"/>
        <v>4. 10K+</v>
      </c>
      <c r="AJ92" s="1" t="str">
        <f t="shared" si="9"/>
        <v>4. 10+ yrs</v>
      </c>
      <c r="AK92" s="1" t="str">
        <f t="shared" si="10"/>
        <v>2. Medium</v>
      </c>
      <c r="AL92" s="1" t="str">
        <f t="shared" si="11"/>
        <v>2. Good</v>
      </c>
    </row>
    <row r="93" spans="1:38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f t="shared" si="6"/>
        <v>0</v>
      </c>
      <c r="AH93" t="str">
        <f t="shared" si="7"/>
        <v>46-55</v>
      </c>
      <c r="AI93" t="str">
        <f t="shared" si="8"/>
        <v>2. 3K-6K</v>
      </c>
      <c r="AJ93" s="1" t="str">
        <f t="shared" si="9"/>
        <v>3. 6-10 yrs</v>
      </c>
      <c r="AK93" s="1" t="str">
        <f t="shared" si="10"/>
        <v>4. Very High</v>
      </c>
      <c r="AL93" s="1" t="str">
        <f t="shared" si="11"/>
        <v>1. Bad</v>
      </c>
    </row>
    <row r="94" spans="1:38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f t="shared" si="6"/>
        <v>0</v>
      </c>
      <c r="AH94" t="str">
        <f t="shared" si="7"/>
        <v>26-35</v>
      </c>
      <c r="AI94" t="str">
        <f t="shared" si="8"/>
        <v>2. 3K-6K</v>
      </c>
      <c r="AJ94" s="1" t="str">
        <f t="shared" si="9"/>
        <v>4. 10+ yrs</v>
      </c>
      <c r="AK94" s="1" t="str">
        <f t="shared" si="10"/>
        <v>2. Medium</v>
      </c>
      <c r="AL94" s="1" t="str">
        <f t="shared" si="11"/>
        <v>2. Good</v>
      </c>
    </row>
    <row r="95" spans="1:38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f t="shared" si="6"/>
        <v>0</v>
      </c>
      <c r="AH95" t="str">
        <f t="shared" si="7"/>
        <v>46-55</v>
      </c>
      <c r="AI95" t="str">
        <f t="shared" si="8"/>
        <v>4. 10K+</v>
      </c>
      <c r="AJ95" s="1" t="str">
        <f t="shared" si="9"/>
        <v>3. 6-10 yrs</v>
      </c>
      <c r="AK95" s="1" t="str">
        <f t="shared" si="10"/>
        <v>1. Low</v>
      </c>
      <c r="AL95" s="1" t="str">
        <f t="shared" si="11"/>
        <v>2. Good</v>
      </c>
    </row>
    <row r="96" spans="1:38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f t="shared" si="6"/>
        <v>0</v>
      </c>
      <c r="AH96" t="str">
        <f t="shared" si="7"/>
        <v>26-35</v>
      </c>
      <c r="AI96" t="str">
        <f t="shared" si="8"/>
        <v>2. 3K-6K</v>
      </c>
      <c r="AJ96" s="1" t="str">
        <f t="shared" si="9"/>
        <v>4. 10+ yrs</v>
      </c>
      <c r="AK96" s="1" t="str">
        <f t="shared" si="10"/>
        <v>3. High</v>
      </c>
      <c r="AL96" s="1" t="str">
        <f t="shared" si="11"/>
        <v>3. Better</v>
      </c>
    </row>
    <row r="97" spans="1:38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f t="shared" si="6"/>
        <v>0</v>
      </c>
      <c r="AH97" t="str">
        <f t="shared" si="7"/>
        <v>46-55</v>
      </c>
      <c r="AI97" t="str">
        <f t="shared" si="8"/>
        <v>4. 10K+</v>
      </c>
      <c r="AJ97" s="1" t="str">
        <f t="shared" si="9"/>
        <v>2. 2-5 yrs</v>
      </c>
      <c r="AK97" s="1" t="str">
        <f t="shared" si="10"/>
        <v>3. High</v>
      </c>
      <c r="AL97" s="1" t="str">
        <f t="shared" si="11"/>
        <v>1. Bad</v>
      </c>
    </row>
    <row r="98" spans="1:38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f t="shared" si="6"/>
        <v>0</v>
      </c>
      <c r="AH98" t="str">
        <f t="shared" si="7"/>
        <v>18-25</v>
      </c>
      <c r="AI98" t="str">
        <f t="shared" si="8"/>
        <v>2. 3K-6K</v>
      </c>
      <c r="AJ98" s="1" t="str">
        <f t="shared" si="9"/>
        <v>2. 2-5 yrs</v>
      </c>
      <c r="AK98" s="1" t="str">
        <f t="shared" si="10"/>
        <v>3. High</v>
      </c>
      <c r="AL98" s="1" t="str">
        <f t="shared" si="11"/>
        <v>2. Good</v>
      </c>
    </row>
    <row r="99" spans="1:38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f t="shared" si="6"/>
        <v>0</v>
      </c>
      <c r="AH99" t="str">
        <f t="shared" si="7"/>
        <v>26-35</v>
      </c>
      <c r="AI99" t="str">
        <f t="shared" si="8"/>
        <v>2. 3K-6K</v>
      </c>
      <c r="AJ99" s="1" t="str">
        <f t="shared" si="9"/>
        <v>2. 2-5 yrs</v>
      </c>
      <c r="AK99" s="1" t="str">
        <f t="shared" si="10"/>
        <v>3. High</v>
      </c>
      <c r="AL99" s="1" t="str">
        <f t="shared" si="11"/>
        <v>4. Best</v>
      </c>
    </row>
    <row r="100" spans="1:38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f t="shared" si="6"/>
        <v>0</v>
      </c>
      <c r="AH100" t="str">
        <f t="shared" si="7"/>
        <v>56+</v>
      </c>
      <c r="AI100" t="str">
        <f t="shared" si="8"/>
        <v>4. 10K+</v>
      </c>
      <c r="AJ100" s="1" t="str">
        <f t="shared" si="9"/>
        <v>4. 10+ yrs</v>
      </c>
      <c r="AK100" s="1" t="str">
        <f t="shared" si="10"/>
        <v>3. High</v>
      </c>
      <c r="AL100" s="1" t="str">
        <f t="shared" si="11"/>
        <v>2. Good</v>
      </c>
    </row>
    <row r="101" spans="1:38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f t="shared" si="6"/>
        <v>0</v>
      </c>
      <c r="AH101" t="str">
        <f t="shared" si="7"/>
        <v>36-45</v>
      </c>
      <c r="AI101" t="str">
        <f t="shared" si="8"/>
        <v>1. Under 3K</v>
      </c>
      <c r="AJ101" s="1" t="str">
        <f t="shared" si="9"/>
        <v>2. 2-5 yrs</v>
      </c>
      <c r="AK101" s="1" t="str">
        <f t="shared" si="10"/>
        <v>2. Medium</v>
      </c>
      <c r="AL101" s="1" t="str">
        <f t="shared" si="11"/>
        <v>4. Best</v>
      </c>
    </row>
    <row r="102" spans="1:38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f t="shared" si="6"/>
        <v>1</v>
      </c>
      <c r="AH102" t="str">
        <f t="shared" si="7"/>
        <v>36-45</v>
      </c>
      <c r="AI102" t="str">
        <f t="shared" si="8"/>
        <v>1. Under 3K</v>
      </c>
      <c r="AJ102" s="1" t="str">
        <f t="shared" si="9"/>
        <v>2. 2-5 yrs</v>
      </c>
      <c r="AK102" s="1" t="str">
        <f t="shared" si="10"/>
        <v>1. Low</v>
      </c>
      <c r="AL102" s="1" t="str">
        <f t="shared" si="11"/>
        <v>3. Better</v>
      </c>
    </row>
    <row r="103" spans="1:38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f t="shared" si="6"/>
        <v>0</v>
      </c>
      <c r="AH103" t="str">
        <f t="shared" si="7"/>
        <v>26-35</v>
      </c>
      <c r="AI103" t="str">
        <f t="shared" si="8"/>
        <v>1. Under 3K</v>
      </c>
      <c r="AJ103" s="1" t="str">
        <f t="shared" si="9"/>
        <v>1. 0-1 yrs</v>
      </c>
      <c r="AK103" s="1" t="str">
        <f t="shared" si="10"/>
        <v>1. Low</v>
      </c>
      <c r="AL103" s="1" t="str">
        <f t="shared" si="11"/>
        <v>3. Better</v>
      </c>
    </row>
    <row r="104" spans="1:38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f t="shared" si="6"/>
        <v>1</v>
      </c>
      <c r="AH104" t="str">
        <f t="shared" si="7"/>
        <v>18-25</v>
      </c>
      <c r="AI104" t="str">
        <f t="shared" si="8"/>
        <v>1. Under 3K</v>
      </c>
      <c r="AJ104" s="1" t="str">
        <f t="shared" si="9"/>
        <v>1. 0-1 yrs</v>
      </c>
      <c r="AK104" s="1" t="str">
        <f t="shared" si="10"/>
        <v>4. Very High</v>
      </c>
      <c r="AL104" s="1" t="str">
        <f t="shared" si="11"/>
        <v>3. Better</v>
      </c>
    </row>
    <row r="105" spans="1:38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f t="shared" si="6"/>
        <v>0</v>
      </c>
      <c r="AH105" t="str">
        <f t="shared" si="7"/>
        <v>26-35</v>
      </c>
      <c r="AI105" t="str">
        <f t="shared" si="8"/>
        <v>2. 3K-6K</v>
      </c>
      <c r="AJ105" s="1" t="str">
        <f t="shared" si="9"/>
        <v>4. 10+ yrs</v>
      </c>
      <c r="AK105" s="1" t="str">
        <f t="shared" si="10"/>
        <v>3. High</v>
      </c>
      <c r="AL105" s="1" t="str">
        <f t="shared" si="11"/>
        <v>3. Better</v>
      </c>
    </row>
    <row r="106" spans="1:38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f t="shared" si="6"/>
        <v>0</v>
      </c>
      <c r="AH106" t="str">
        <f t="shared" si="7"/>
        <v>36-45</v>
      </c>
      <c r="AI106" t="str">
        <f t="shared" si="8"/>
        <v>2. 3K-6K</v>
      </c>
      <c r="AJ106" s="1" t="str">
        <f t="shared" si="9"/>
        <v>1. 0-1 yrs</v>
      </c>
      <c r="AK106" s="1" t="str">
        <f t="shared" si="10"/>
        <v>4. Very High</v>
      </c>
      <c r="AL106" s="1" t="str">
        <f t="shared" si="11"/>
        <v>4. Best</v>
      </c>
    </row>
    <row r="107" spans="1:38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f t="shared" si="6"/>
        <v>0</v>
      </c>
      <c r="AH107" t="str">
        <f t="shared" si="7"/>
        <v>56+</v>
      </c>
      <c r="AI107" t="str">
        <f t="shared" si="8"/>
        <v>4. 10K+</v>
      </c>
      <c r="AJ107" s="1" t="str">
        <f t="shared" si="9"/>
        <v>2. 2-5 yrs</v>
      </c>
      <c r="AK107" s="1" t="str">
        <f t="shared" si="10"/>
        <v>4. Very High</v>
      </c>
      <c r="AL107" s="1" t="str">
        <f t="shared" si="11"/>
        <v>3. Better</v>
      </c>
    </row>
    <row r="108" spans="1:38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f t="shared" si="6"/>
        <v>0</v>
      </c>
      <c r="AH108" t="str">
        <f t="shared" si="7"/>
        <v>46-55</v>
      </c>
      <c r="AI108" t="str">
        <f t="shared" si="8"/>
        <v>4. 10K+</v>
      </c>
      <c r="AJ108" s="1" t="str">
        <f t="shared" si="9"/>
        <v>3. 6-10 yrs</v>
      </c>
      <c r="AK108" s="1" t="str">
        <f t="shared" si="10"/>
        <v>2. Medium</v>
      </c>
      <c r="AL108" s="1" t="str">
        <f t="shared" si="11"/>
        <v>2. Good</v>
      </c>
    </row>
    <row r="109" spans="1:38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f t="shared" si="6"/>
        <v>1</v>
      </c>
      <c r="AH109" t="str">
        <f t="shared" si="7"/>
        <v>18-25</v>
      </c>
      <c r="AI109" t="str">
        <f t="shared" si="8"/>
        <v>2. 3K-6K</v>
      </c>
      <c r="AJ109" s="1" t="str">
        <f t="shared" si="9"/>
        <v>3. 6-10 yrs</v>
      </c>
      <c r="AK109" s="1" t="str">
        <f t="shared" si="10"/>
        <v>3. High</v>
      </c>
      <c r="AL109" s="1" t="str">
        <f t="shared" si="11"/>
        <v>3. Better</v>
      </c>
    </row>
    <row r="110" spans="1:38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f t="shared" si="6"/>
        <v>0</v>
      </c>
      <c r="AH110" t="str">
        <f t="shared" si="7"/>
        <v>18-25</v>
      </c>
      <c r="AI110" t="str">
        <f t="shared" si="8"/>
        <v>1. Under 3K</v>
      </c>
      <c r="AJ110" s="1" t="str">
        <f t="shared" si="9"/>
        <v>2. 2-5 yrs</v>
      </c>
      <c r="AK110" s="1" t="str">
        <f t="shared" si="10"/>
        <v>4. Very High</v>
      </c>
      <c r="AL110" s="1" t="str">
        <f t="shared" si="11"/>
        <v>3. Better</v>
      </c>
    </row>
    <row r="111" spans="1:38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f t="shared" si="6"/>
        <v>0</v>
      </c>
      <c r="AH111" t="str">
        <f t="shared" si="7"/>
        <v>18-25</v>
      </c>
      <c r="AI111" t="str">
        <f t="shared" si="8"/>
        <v>1. Under 3K</v>
      </c>
      <c r="AJ111" s="1" t="str">
        <f t="shared" si="9"/>
        <v>1. 0-1 yrs</v>
      </c>
      <c r="AK111" s="1" t="str">
        <f t="shared" si="10"/>
        <v>4. Very High</v>
      </c>
      <c r="AL111" s="1" t="str">
        <f t="shared" si="11"/>
        <v>3. Better</v>
      </c>
    </row>
    <row r="112" spans="1:38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f t="shared" si="6"/>
        <v>0</v>
      </c>
      <c r="AH112" t="str">
        <f t="shared" si="7"/>
        <v>46-55</v>
      </c>
      <c r="AI112" t="str">
        <f t="shared" si="8"/>
        <v>3. 6K-10K</v>
      </c>
      <c r="AJ112" s="1" t="str">
        <f t="shared" si="9"/>
        <v>4. 10+ yrs</v>
      </c>
      <c r="AK112" s="1" t="str">
        <f t="shared" si="10"/>
        <v>1. Low</v>
      </c>
      <c r="AL112" s="1" t="str">
        <f t="shared" si="11"/>
        <v>2. Good</v>
      </c>
    </row>
    <row r="113" spans="1:38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f t="shared" si="6"/>
        <v>1</v>
      </c>
      <c r="AH113" t="str">
        <f t="shared" si="7"/>
        <v>26-35</v>
      </c>
      <c r="AI113" t="str">
        <f t="shared" si="8"/>
        <v>3. 6K-10K</v>
      </c>
      <c r="AJ113" s="1" t="str">
        <f t="shared" si="9"/>
        <v>3. 6-10 yrs</v>
      </c>
      <c r="AK113" s="1" t="str">
        <f t="shared" si="10"/>
        <v>3. High</v>
      </c>
      <c r="AL113" s="1" t="str">
        <f t="shared" si="11"/>
        <v>3. Better</v>
      </c>
    </row>
    <row r="114" spans="1:38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f t="shared" si="6"/>
        <v>0</v>
      </c>
      <c r="AH114" t="str">
        <f t="shared" si="7"/>
        <v>46-55</v>
      </c>
      <c r="AI114" t="str">
        <f t="shared" si="8"/>
        <v>4. 10K+</v>
      </c>
      <c r="AJ114" s="1" t="str">
        <f t="shared" si="9"/>
        <v>2. 2-5 yrs</v>
      </c>
      <c r="AK114" s="1" t="str">
        <f t="shared" si="10"/>
        <v>4. Very High</v>
      </c>
      <c r="AL114" s="1" t="str">
        <f t="shared" si="11"/>
        <v>3. Better</v>
      </c>
    </row>
    <row r="115" spans="1:38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f t="shared" si="6"/>
        <v>0</v>
      </c>
      <c r="AH115" t="str">
        <f t="shared" si="7"/>
        <v>18-25</v>
      </c>
      <c r="AI115" t="str">
        <f t="shared" si="8"/>
        <v>1. Under 3K</v>
      </c>
      <c r="AJ115" s="1" t="str">
        <f t="shared" si="9"/>
        <v>2. 2-5 yrs</v>
      </c>
      <c r="AK115" s="1" t="str">
        <f t="shared" si="10"/>
        <v>3. High</v>
      </c>
      <c r="AL115" s="1" t="str">
        <f t="shared" si="11"/>
        <v>3. Better</v>
      </c>
    </row>
    <row r="116" spans="1:38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f t="shared" si="6"/>
        <v>0</v>
      </c>
      <c r="AH116" t="str">
        <f t="shared" si="7"/>
        <v>26-35</v>
      </c>
      <c r="AI116" t="str">
        <f t="shared" si="8"/>
        <v>2. 3K-6K</v>
      </c>
      <c r="AJ116" s="1" t="str">
        <f t="shared" si="9"/>
        <v>1. 0-1 yrs</v>
      </c>
      <c r="AK116" s="1" t="str">
        <f t="shared" si="10"/>
        <v>2. Medium</v>
      </c>
      <c r="AL116" s="1" t="str">
        <f t="shared" si="11"/>
        <v>3. Better</v>
      </c>
    </row>
    <row r="117" spans="1:38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f t="shared" si="6"/>
        <v>0</v>
      </c>
      <c r="AH117" t="str">
        <f t="shared" si="7"/>
        <v>36-45</v>
      </c>
      <c r="AI117" t="str">
        <f t="shared" si="8"/>
        <v>3. 6K-10K</v>
      </c>
      <c r="AJ117" s="1" t="str">
        <f t="shared" si="9"/>
        <v>2. 2-5 yrs</v>
      </c>
      <c r="AK117" s="1" t="str">
        <f t="shared" si="10"/>
        <v>4. Very High</v>
      </c>
      <c r="AL117" s="1" t="str">
        <f t="shared" si="11"/>
        <v>3. Better</v>
      </c>
    </row>
    <row r="118" spans="1:38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f t="shared" si="6"/>
        <v>0</v>
      </c>
      <c r="AH118" t="str">
        <f t="shared" si="7"/>
        <v>26-35</v>
      </c>
      <c r="AI118" t="str">
        <f t="shared" si="8"/>
        <v>4. 10K+</v>
      </c>
      <c r="AJ118" s="1" t="str">
        <f t="shared" si="9"/>
        <v>4. 10+ yrs</v>
      </c>
      <c r="AK118" s="1" t="str">
        <f t="shared" si="10"/>
        <v>1. Low</v>
      </c>
      <c r="AL118" s="1" t="str">
        <f t="shared" si="11"/>
        <v>3. Better</v>
      </c>
    </row>
    <row r="119" spans="1:38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f t="shared" si="6"/>
        <v>0</v>
      </c>
      <c r="AH119" t="str">
        <f t="shared" si="7"/>
        <v>36-45</v>
      </c>
      <c r="AI119" t="str">
        <f t="shared" si="8"/>
        <v>3. 6K-10K</v>
      </c>
      <c r="AJ119" s="1" t="str">
        <f t="shared" si="9"/>
        <v>3. 6-10 yrs</v>
      </c>
      <c r="AK119" s="1" t="str">
        <f t="shared" si="10"/>
        <v>4. Very High</v>
      </c>
      <c r="AL119" s="1" t="str">
        <f t="shared" si="11"/>
        <v>3. Better</v>
      </c>
    </row>
    <row r="120" spans="1:38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f t="shared" si="6"/>
        <v>0</v>
      </c>
      <c r="AH120" t="str">
        <f t="shared" si="7"/>
        <v>36-45</v>
      </c>
      <c r="AI120" t="str">
        <f t="shared" si="8"/>
        <v>1. Under 3K</v>
      </c>
      <c r="AJ120" s="1" t="str">
        <f t="shared" si="9"/>
        <v>1. 0-1 yrs</v>
      </c>
      <c r="AK120" s="1" t="str">
        <f t="shared" si="10"/>
        <v>4. Very High</v>
      </c>
      <c r="AL120" s="1" t="str">
        <f t="shared" si="11"/>
        <v>3. Better</v>
      </c>
    </row>
    <row r="121" spans="1:38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f t="shared" si="6"/>
        <v>0</v>
      </c>
      <c r="AH121" t="str">
        <f t="shared" si="7"/>
        <v>36-45</v>
      </c>
      <c r="AI121" t="str">
        <f t="shared" si="8"/>
        <v>4. 10K+</v>
      </c>
      <c r="AJ121" s="1" t="str">
        <f t="shared" si="9"/>
        <v>4. 10+ yrs</v>
      </c>
      <c r="AK121" s="1" t="str">
        <f t="shared" si="10"/>
        <v>4. Very High</v>
      </c>
      <c r="AL121" s="1" t="str">
        <f t="shared" si="11"/>
        <v>4. Best</v>
      </c>
    </row>
    <row r="122" spans="1:38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f t="shared" si="6"/>
        <v>0</v>
      </c>
      <c r="AH122" t="str">
        <f t="shared" si="7"/>
        <v>26-35</v>
      </c>
      <c r="AI122" t="str">
        <f t="shared" si="8"/>
        <v>1. Under 3K</v>
      </c>
      <c r="AJ122" s="1" t="str">
        <f t="shared" si="9"/>
        <v>3. 6-10 yrs</v>
      </c>
      <c r="AK122" s="1" t="str">
        <f t="shared" si="10"/>
        <v>3. High</v>
      </c>
      <c r="AL122" s="1" t="str">
        <f t="shared" si="11"/>
        <v>2. Good</v>
      </c>
    </row>
    <row r="123" spans="1:38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f t="shared" si="6"/>
        <v>0</v>
      </c>
      <c r="AH123" t="str">
        <f t="shared" si="7"/>
        <v>26-35</v>
      </c>
      <c r="AI123" t="str">
        <f t="shared" si="8"/>
        <v>3. 6K-10K</v>
      </c>
      <c r="AJ123" s="1" t="str">
        <f t="shared" si="9"/>
        <v>3. 6-10 yrs</v>
      </c>
      <c r="AK123" s="1" t="str">
        <f t="shared" si="10"/>
        <v>2. Medium</v>
      </c>
      <c r="AL123" s="1" t="str">
        <f t="shared" si="11"/>
        <v>4. Best</v>
      </c>
    </row>
    <row r="124" spans="1:38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f t="shared" si="6"/>
        <v>1</v>
      </c>
      <c r="AH124" t="str">
        <f t="shared" si="7"/>
        <v>56+</v>
      </c>
      <c r="AI124" t="str">
        <f t="shared" si="8"/>
        <v>2. 3K-6K</v>
      </c>
      <c r="AJ124" s="1" t="str">
        <f t="shared" si="9"/>
        <v>2. 2-5 yrs</v>
      </c>
      <c r="AK124" s="1" t="str">
        <f t="shared" si="10"/>
        <v>2. Medium</v>
      </c>
      <c r="AL124" s="1" t="str">
        <f t="shared" si="11"/>
        <v>3. Better</v>
      </c>
    </row>
    <row r="125" spans="1:38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f t="shared" si="6"/>
        <v>0</v>
      </c>
      <c r="AH125" t="str">
        <f t="shared" si="7"/>
        <v>46-55</v>
      </c>
      <c r="AI125" t="str">
        <f t="shared" si="8"/>
        <v>4. 10K+</v>
      </c>
      <c r="AJ125" s="1" t="str">
        <f t="shared" si="9"/>
        <v>4. 10+ yrs</v>
      </c>
      <c r="AK125" s="1" t="str">
        <f t="shared" si="10"/>
        <v>3. High</v>
      </c>
      <c r="AL125" s="1" t="str">
        <f t="shared" si="11"/>
        <v>3. Better</v>
      </c>
    </row>
    <row r="126" spans="1:38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f t="shared" si="6"/>
        <v>1</v>
      </c>
      <c r="AH126" t="str">
        <f t="shared" si="7"/>
        <v>26-35</v>
      </c>
      <c r="AI126" t="str">
        <f t="shared" si="8"/>
        <v>3. 6K-10K</v>
      </c>
      <c r="AJ126" s="1" t="str">
        <f t="shared" si="9"/>
        <v>3. 6-10 yrs</v>
      </c>
      <c r="AK126" s="1" t="str">
        <f t="shared" si="10"/>
        <v>3. High</v>
      </c>
      <c r="AL126" s="1" t="str">
        <f t="shared" si="11"/>
        <v>2. Good</v>
      </c>
    </row>
    <row r="127" spans="1:38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f t="shared" si="6"/>
        <v>0</v>
      </c>
      <c r="AH127" t="str">
        <f t="shared" si="7"/>
        <v>26-35</v>
      </c>
      <c r="AI127" t="str">
        <f t="shared" si="8"/>
        <v>1. Under 3K</v>
      </c>
      <c r="AJ127" s="1" t="str">
        <f t="shared" si="9"/>
        <v>2. 2-5 yrs</v>
      </c>
      <c r="AK127" s="1" t="str">
        <f t="shared" si="10"/>
        <v>2. Medium</v>
      </c>
      <c r="AL127" s="1" t="str">
        <f t="shared" si="11"/>
        <v>2. Good</v>
      </c>
    </row>
    <row r="128" spans="1:38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f t="shared" si="6"/>
        <v>1</v>
      </c>
      <c r="AH128" t="str">
        <f t="shared" si="7"/>
        <v>56+</v>
      </c>
      <c r="AI128" t="str">
        <f t="shared" si="8"/>
        <v>4. 10K+</v>
      </c>
      <c r="AJ128" s="1" t="str">
        <f t="shared" si="9"/>
        <v>4. 10+ yrs</v>
      </c>
      <c r="AK128" s="1" t="str">
        <f t="shared" si="10"/>
        <v>4. Very High</v>
      </c>
      <c r="AL128" s="1" t="str">
        <f t="shared" si="11"/>
        <v>2. Good</v>
      </c>
    </row>
    <row r="129" spans="1:38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f t="shared" si="6"/>
        <v>1</v>
      </c>
      <c r="AH129" t="str">
        <f t="shared" si="7"/>
        <v>18-25</v>
      </c>
      <c r="AI129" t="str">
        <f t="shared" si="8"/>
        <v>1. Under 3K</v>
      </c>
      <c r="AJ129" s="1" t="str">
        <f t="shared" si="9"/>
        <v>1. 0-1 yrs</v>
      </c>
      <c r="AK129" s="1" t="str">
        <f t="shared" si="10"/>
        <v>3. High</v>
      </c>
      <c r="AL129" s="1" t="str">
        <f t="shared" si="11"/>
        <v>2. Good</v>
      </c>
    </row>
    <row r="130" spans="1:38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f t="shared" ref="AG130:AG193" si="12">IF(B130="Yes",1,0)</f>
        <v>0</v>
      </c>
      <c r="AH130" t="str">
        <f t="shared" ref="AH130:AH193" si="13">IF(A130&lt;26,"18-25",IF(A130&lt;36,"26-35",IF(A130&lt;46,"36-45",IF(A130&lt;56,"46-55","56+"))))</f>
        <v>18-25</v>
      </c>
      <c r="AI130" t="str">
        <f t="shared" ref="AI130:AI193" si="14">IF(R130&lt;3000,"1. Under 3K",IF(R130&lt;6000,"2. 3K-6K",IF(R130&lt;10000,"3. 6K-10K","4. 10K+")))</f>
        <v>1. Under 3K</v>
      </c>
      <c r="AJ130" s="1" t="str">
        <f t="shared" ref="AJ130:AJ193" si="15">IF(AC130&lt;2,"1. 0-1 yrs",IF(AC130&lt;6,"2. 2-5 yrs",IF(AC130&lt;11,"3. 6-10 yrs","4. 10+ yrs")))</f>
        <v>2. 2-5 yrs</v>
      </c>
      <c r="AK130" s="1" t="str">
        <f t="shared" ref="AK130:AK193" si="16">CHOOSE(P130,"1. Low","2. Medium","3. High","4. Very High")</f>
        <v>4. Very High</v>
      </c>
      <c r="AL130" s="1" t="str">
        <f t="shared" ref="AL130:AL193" si="17">CHOOSE(AB130,"1. Bad","2. Good","3. Better","4. Best")</f>
        <v>3. Better</v>
      </c>
    </row>
    <row r="131" spans="1:38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f t="shared" si="12"/>
        <v>0</v>
      </c>
      <c r="AH131" t="str">
        <f t="shared" si="13"/>
        <v>46-55</v>
      </c>
      <c r="AI131" t="str">
        <f t="shared" si="14"/>
        <v>3. 6K-10K</v>
      </c>
      <c r="AJ131" s="1" t="str">
        <f t="shared" si="15"/>
        <v>4. 10+ yrs</v>
      </c>
      <c r="AK131" s="1" t="str">
        <f t="shared" si="16"/>
        <v>1. Low</v>
      </c>
      <c r="AL131" s="1" t="str">
        <f t="shared" si="17"/>
        <v>2. Good</v>
      </c>
    </row>
    <row r="132" spans="1:38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f t="shared" si="12"/>
        <v>0</v>
      </c>
      <c r="AH132" t="str">
        <f t="shared" si="13"/>
        <v>36-45</v>
      </c>
      <c r="AI132" t="str">
        <f t="shared" si="14"/>
        <v>2. 3K-6K</v>
      </c>
      <c r="AJ132" s="1" t="str">
        <f t="shared" si="15"/>
        <v>2. 2-5 yrs</v>
      </c>
      <c r="AK132" s="1" t="str">
        <f t="shared" si="16"/>
        <v>3. High</v>
      </c>
      <c r="AL132" s="1" t="str">
        <f t="shared" si="17"/>
        <v>3. Better</v>
      </c>
    </row>
    <row r="133" spans="1:38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f t="shared" si="12"/>
        <v>0</v>
      </c>
      <c r="AH133" t="str">
        <f t="shared" si="13"/>
        <v>46-55</v>
      </c>
      <c r="AI133" t="str">
        <f t="shared" si="14"/>
        <v>3. 6K-10K</v>
      </c>
      <c r="AJ133" s="1" t="str">
        <f t="shared" si="15"/>
        <v>2. 2-5 yrs</v>
      </c>
      <c r="AK133" s="1" t="str">
        <f t="shared" si="16"/>
        <v>4. Very High</v>
      </c>
      <c r="AL133" s="1" t="str">
        <f t="shared" si="17"/>
        <v>3. Better</v>
      </c>
    </row>
    <row r="134" spans="1:38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f t="shared" si="12"/>
        <v>1</v>
      </c>
      <c r="AH134" t="str">
        <f t="shared" si="13"/>
        <v>26-35</v>
      </c>
      <c r="AI134" t="str">
        <f t="shared" si="14"/>
        <v>2. 3K-6K</v>
      </c>
      <c r="AJ134" s="1" t="str">
        <f t="shared" si="15"/>
        <v>2. 2-5 yrs</v>
      </c>
      <c r="AK134" s="1" t="str">
        <f t="shared" si="16"/>
        <v>3. High</v>
      </c>
      <c r="AL134" s="1" t="str">
        <f t="shared" si="17"/>
        <v>3. Better</v>
      </c>
    </row>
    <row r="135" spans="1:38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f t="shared" si="12"/>
        <v>0</v>
      </c>
      <c r="AH135" t="str">
        <f t="shared" si="13"/>
        <v>36-45</v>
      </c>
      <c r="AI135" t="str">
        <f t="shared" si="14"/>
        <v>3. 6K-10K</v>
      </c>
      <c r="AJ135" s="1" t="str">
        <f t="shared" si="15"/>
        <v>3. 6-10 yrs</v>
      </c>
      <c r="AK135" s="1" t="str">
        <f t="shared" si="16"/>
        <v>3. High</v>
      </c>
      <c r="AL135" s="1" t="str">
        <f t="shared" si="17"/>
        <v>3. Better</v>
      </c>
    </row>
    <row r="136" spans="1:38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f t="shared" si="12"/>
        <v>0</v>
      </c>
      <c r="AH136" t="str">
        <f t="shared" si="13"/>
        <v>26-35</v>
      </c>
      <c r="AI136" t="str">
        <f t="shared" si="14"/>
        <v>1. Under 3K</v>
      </c>
      <c r="AJ136" s="1" t="str">
        <f t="shared" si="15"/>
        <v>3. 6-10 yrs</v>
      </c>
      <c r="AK136" s="1" t="str">
        <f t="shared" si="16"/>
        <v>3. High</v>
      </c>
      <c r="AL136" s="1" t="str">
        <f t="shared" si="17"/>
        <v>3. Better</v>
      </c>
    </row>
    <row r="137" spans="1:38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f t="shared" si="12"/>
        <v>0</v>
      </c>
      <c r="AH137" t="str">
        <f t="shared" si="13"/>
        <v>36-45</v>
      </c>
      <c r="AI137" t="str">
        <f t="shared" si="14"/>
        <v>2. 3K-6K</v>
      </c>
      <c r="AJ137" s="1" t="str">
        <f t="shared" si="15"/>
        <v>2. 2-5 yrs</v>
      </c>
      <c r="AK137" s="1" t="str">
        <f t="shared" si="16"/>
        <v>2. Medium</v>
      </c>
      <c r="AL137" s="1" t="str">
        <f t="shared" si="17"/>
        <v>3. Better</v>
      </c>
    </row>
    <row r="138" spans="1:38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f t="shared" si="12"/>
        <v>1</v>
      </c>
      <c r="AH138" t="str">
        <f t="shared" si="13"/>
        <v>46-55</v>
      </c>
      <c r="AI138" t="str">
        <f t="shared" si="14"/>
        <v>4. 10K+</v>
      </c>
      <c r="AJ138" s="1" t="str">
        <f t="shared" si="15"/>
        <v>2. 2-5 yrs</v>
      </c>
      <c r="AK138" s="1" t="str">
        <f t="shared" si="16"/>
        <v>4. Very High</v>
      </c>
      <c r="AL138" s="1" t="str">
        <f t="shared" si="17"/>
        <v>3. Better</v>
      </c>
    </row>
    <row r="139" spans="1:38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f t="shared" si="12"/>
        <v>0</v>
      </c>
      <c r="AH139" t="str">
        <f t="shared" si="13"/>
        <v>36-45</v>
      </c>
      <c r="AI139" t="str">
        <f t="shared" si="14"/>
        <v>2. 3K-6K</v>
      </c>
      <c r="AJ139" s="1" t="str">
        <f t="shared" si="15"/>
        <v>4. 10+ yrs</v>
      </c>
      <c r="AK139" s="1" t="str">
        <f t="shared" si="16"/>
        <v>3. High</v>
      </c>
      <c r="AL139" s="1" t="str">
        <f t="shared" si="17"/>
        <v>4. Best</v>
      </c>
    </row>
    <row r="140" spans="1:38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f t="shared" si="12"/>
        <v>0</v>
      </c>
      <c r="AH140" t="str">
        <f t="shared" si="13"/>
        <v>18-25</v>
      </c>
      <c r="AI140" t="str">
        <f t="shared" si="14"/>
        <v>3. 6K-10K</v>
      </c>
      <c r="AJ140" s="1" t="str">
        <f t="shared" si="15"/>
        <v>2. 2-5 yrs</v>
      </c>
      <c r="AK140" s="1" t="str">
        <f t="shared" si="16"/>
        <v>3. High</v>
      </c>
      <c r="AL140" s="1" t="str">
        <f t="shared" si="17"/>
        <v>3. Better</v>
      </c>
    </row>
    <row r="141" spans="1:38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f t="shared" si="12"/>
        <v>0</v>
      </c>
      <c r="AH141" t="str">
        <f t="shared" si="13"/>
        <v>26-35</v>
      </c>
      <c r="AI141" t="str">
        <f t="shared" si="14"/>
        <v>3. 6K-10K</v>
      </c>
      <c r="AJ141" s="1" t="str">
        <f t="shared" si="15"/>
        <v>4. 10+ yrs</v>
      </c>
      <c r="AK141" s="1" t="str">
        <f t="shared" si="16"/>
        <v>4. Very High</v>
      </c>
      <c r="AL141" s="1" t="str">
        <f t="shared" si="17"/>
        <v>1. Bad</v>
      </c>
    </row>
    <row r="142" spans="1:38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f t="shared" si="12"/>
        <v>1</v>
      </c>
      <c r="AH142" t="str">
        <f t="shared" si="13"/>
        <v>26-35</v>
      </c>
      <c r="AI142" t="str">
        <f t="shared" si="14"/>
        <v>2. 3K-6K</v>
      </c>
      <c r="AJ142" s="1" t="str">
        <f t="shared" si="15"/>
        <v>2. 2-5 yrs</v>
      </c>
      <c r="AK142" s="1" t="str">
        <f t="shared" si="16"/>
        <v>1. Low</v>
      </c>
      <c r="AL142" s="1" t="str">
        <f t="shared" si="17"/>
        <v>4. Best</v>
      </c>
    </row>
    <row r="143" spans="1:38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f t="shared" si="12"/>
        <v>0</v>
      </c>
      <c r="AH143" t="str">
        <f t="shared" si="13"/>
        <v>36-45</v>
      </c>
      <c r="AI143" t="str">
        <f t="shared" si="14"/>
        <v>2. 3K-6K</v>
      </c>
      <c r="AJ143" s="1" t="str">
        <f t="shared" si="15"/>
        <v>3. 6-10 yrs</v>
      </c>
      <c r="AK143" s="1" t="str">
        <f t="shared" si="16"/>
        <v>4. Very High</v>
      </c>
      <c r="AL143" s="1" t="str">
        <f t="shared" si="17"/>
        <v>2. Good</v>
      </c>
    </row>
    <row r="144" spans="1:38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f t="shared" si="12"/>
        <v>0</v>
      </c>
      <c r="AH144" t="str">
        <f t="shared" si="13"/>
        <v>36-45</v>
      </c>
      <c r="AI144" t="str">
        <f t="shared" si="14"/>
        <v>2. 3K-6K</v>
      </c>
      <c r="AJ144" s="1" t="str">
        <f t="shared" si="15"/>
        <v>2. 2-5 yrs</v>
      </c>
      <c r="AK144" s="1" t="str">
        <f t="shared" si="16"/>
        <v>3. High</v>
      </c>
      <c r="AL144" s="1" t="str">
        <f t="shared" si="17"/>
        <v>3. Better</v>
      </c>
    </row>
    <row r="145" spans="1:38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f t="shared" si="12"/>
        <v>0</v>
      </c>
      <c r="AH145" t="str">
        <f t="shared" si="13"/>
        <v>26-35</v>
      </c>
      <c r="AI145" t="str">
        <f t="shared" si="14"/>
        <v>1. Under 3K</v>
      </c>
      <c r="AJ145" s="1" t="str">
        <f t="shared" si="15"/>
        <v>2. 2-5 yrs</v>
      </c>
      <c r="AK145" s="1" t="str">
        <f t="shared" si="16"/>
        <v>3. High</v>
      </c>
      <c r="AL145" s="1" t="str">
        <f t="shared" si="17"/>
        <v>2. Good</v>
      </c>
    </row>
    <row r="146" spans="1:38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f t="shared" si="12"/>
        <v>0</v>
      </c>
      <c r="AH146" t="str">
        <f t="shared" si="13"/>
        <v>26-35</v>
      </c>
      <c r="AI146" t="str">
        <f t="shared" si="14"/>
        <v>2. 3K-6K</v>
      </c>
      <c r="AJ146" s="1" t="str">
        <f t="shared" si="15"/>
        <v>3. 6-10 yrs</v>
      </c>
      <c r="AK146" s="1" t="str">
        <f t="shared" si="16"/>
        <v>4. Very High</v>
      </c>
      <c r="AL146" s="1" t="str">
        <f t="shared" si="17"/>
        <v>4. Best</v>
      </c>
    </row>
    <row r="147" spans="1:38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f t="shared" si="12"/>
        <v>0</v>
      </c>
      <c r="AH147" t="str">
        <f t="shared" si="13"/>
        <v>26-35</v>
      </c>
      <c r="AI147" t="str">
        <f t="shared" si="14"/>
        <v>2. 3K-6K</v>
      </c>
      <c r="AJ147" s="1" t="str">
        <f t="shared" si="15"/>
        <v>2. 2-5 yrs</v>
      </c>
      <c r="AK147" s="1" t="str">
        <f t="shared" si="16"/>
        <v>1. Low</v>
      </c>
      <c r="AL147" s="1" t="str">
        <f t="shared" si="17"/>
        <v>3. Better</v>
      </c>
    </row>
    <row r="148" spans="1:38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f t="shared" si="12"/>
        <v>0</v>
      </c>
      <c r="AH148" t="str">
        <f t="shared" si="13"/>
        <v>26-35</v>
      </c>
      <c r="AI148" t="str">
        <f t="shared" si="14"/>
        <v>1. Under 3K</v>
      </c>
      <c r="AJ148" s="1" t="str">
        <f t="shared" si="15"/>
        <v>2. 2-5 yrs</v>
      </c>
      <c r="AK148" s="1" t="str">
        <f t="shared" si="16"/>
        <v>4. Very High</v>
      </c>
      <c r="AL148" s="1" t="str">
        <f t="shared" si="17"/>
        <v>3. Better</v>
      </c>
    </row>
    <row r="149" spans="1:38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f t="shared" si="12"/>
        <v>0</v>
      </c>
      <c r="AH149" t="str">
        <f t="shared" si="13"/>
        <v>36-45</v>
      </c>
      <c r="AI149" t="str">
        <f t="shared" si="14"/>
        <v>4. 10K+</v>
      </c>
      <c r="AJ149" s="1" t="str">
        <f t="shared" si="15"/>
        <v>3. 6-10 yrs</v>
      </c>
      <c r="AK149" s="1" t="str">
        <f t="shared" si="16"/>
        <v>1. Low</v>
      </c>
      <c r="AL149" s="1" t="str">
        <f t="shared" si="17"/>
        <v>2. Good</v>
      </c>
    </row>
    <row r="150" spans="1:38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f t="shared" si="12"/>
        <v>0</v>
      </c>
      <c r="AH150" t="str">
        <f t="shared" si="13"/>
        <v>36-45</v>
      </c>
      <c r="AI150" t="str">
        <f t="shared" si="14"/>
        <v>1. Under 3K</v>
      </c>
      <c r="AJ150" s="1" t="str">
        <f t="shared" si="15"/>
        <v>2. 2-5 yrs</v>
      </c>
      <c r="AK150" s="1" t="str">
        <f t="shared" si="16"/>
        <v>1. Low</v>
      </c>
      <c r="AL150" s="1" t="str">
        <f t="shared" si="17"/>
        <v>3. Better</v>
      </c>
    </row>
    <row r="151" spans="1:38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f t="shared" si="12"/>
        <v>0</v>
      </c>
      <c r="AH151" t="str">
        <f t="shared" si="13"/>
        <v>18-25</v>
      </c>
      <c r="AI151" t="str">
        <f t="shared" si="14"/>
        <v>1. Under 3K</v>
      </c>
      <c r="AJ151" s="1" t="str">
        <f t="shared" si="15"/>
        <v>1. 0-1 yrs</v>
      </c>
      <c r="AK151" s="1" t="str">
        <f t="shared" si="16"/>
        <v>2. Medium</v>
      </c>
      <c r="AL151" s="1" t="str">
        <f t="shared" si="17"/>
        <v>3. Better</v>
      </c>
    </row>
    <row r="152" spans="1:38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f t="shared" si="12"/>
        <v>0</v>
      </c>
      <c r="AH152" t="str">
        <f t="shared" si="13"/>
        <v>36-45</v>
      </c>
      <c r="AI152" t="str">
        <f t="shared" si="14"/>
        <v>2. 3K-6K</v>
      </c>
      <c r="AJ152" s="1" t="str">
        <f t="shared" si="15"/>
        <v>4. 10+ yrs</v>
      </c>
      <c r="AK152" s="1" t="str">
        <f t="shared" si="16"/>
        <v>2. Medium</v>
      </c>
      <c r="AL152" s="1" t="str">
        <f t="shared" si="17"/>
        <v>3. Better</v>
      </c>
    </row>
    <row r="153" spans="1:38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f t="shared" si="12"/>
        <v>0</v>
      </c>
      <c r="AH153" t="str">
        <f t="shared" si="13"/>
        <v>26-35</v>
      </c>
      <c r="AI153" t="str">
        <f t="shared" si="14"/>
        <v>3. 6K-10K</v>
      </c>
      <c r="AJ153" s="1" t="str">
        <f t="shared" si="15"/>
        <v>3. 6-10 yrs</v>
      </c>
      <c r="AK153" s="1" t="str">
        <f t="shared" si="16"/>
        <v>2. Medium</v>
      </c>
      <c r="AL153" s="1" t="str">
        <f t="shared" si="17"/>
        <v>3. Better</v>
      </c>
    </row>
    <row r="154" spans="1:38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f t="shared" si="12"/>
        <v>0</v>
      </c>
      <c r="AH154" t="str">
        <f t="shared" si="13"/>
        <v>46-55</v>
      </c>
      <c r="AI154" t="str">
        <f t="shared" si="14"/>
        <v>1. Under 3K</v>
      </c>
      <c r="AJ154" s="1" t="str">
        <f t="shared" si="15"/>
        <v>3. 6-10 yrs</v>
      </c>
      <c r="AK154" s="1" t="str">
        <f t="shared" si="16"/>
        <v>3. High</v>
      </c>
      <c r="AL154" s="1" t="str">
        <f t="shared" si="17"/>
        <v>1. Bad</v>
      </c>
    </row>
    <row r="155" spans="1:38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f t="shared" si="12"/>
        <v>0</v>
      </c>
      <c r="AH155" t="str">
        <f t="shared" si="13"/>
        <v>36-45</v>
      </c>
      <c r="AI155" t="str">
        <f t="shared" si="14"/>
        <v>1. Under 3K</v>
      </c>
      <c r="AJ155" s="1" t="str">
        <f t="shared" si="15"/>
        <v>4. 10+ yrs</v>
      </c>
      <c r="AK155" s="1" t="str">
        <f t="shared" si="16"/>
        <v>2. Medium</v>
      </c>
      <c r="AL155" s="1" t="str">
        <f t="shared" si="17"/>
        <v>1. Bad</v>
      </c>
    </row>
    <row r="156" spans="1:38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f t="shared" si="12"/>
        <v>0</v>
      </c>
      <c r="AH156" t="str">
        <f t="shared" si="13"/>
        <v>26-35</v>
      </c>
      <c r="AI156" t="str">
        <f t="shared" si="14"/>
        <v>3. 6K-10K</v>
      </c>
      <c r="AJ156" s="1" t="str">
        <f t="shared" si="15"/>
        <v>3. 6-10 yrs</v>
      </c>
      <c r="AK156" s="1" t="str">
        <f t="shared" si="16"/>
        <v>4. Very High</v>
      </c>
      <c r="AL156" s="1" t="str">
        <f t="shared" si="17"/>
        <v>3. Better</v>
      </c>
    </row>
    <row r="157" spans="1:38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f t="shared" si="12"/>
        <v>0</v>
      </c>
      <c r="AH157" t="str">
        <f t="shared" si="13"/>
        <v>26-35</v>
      </c>
      <c r="AI157" t="str">
        <f t="shared" si="14"/>
        <v>2. 3K-6K</v>
      </c>
      <c r="AJ157" s="1" t="str">
        <f t="shared" si="15"/>
        <v>3. 6-10 yrs</v>
      </c>
      <c r="AK157" s="1" t="str">
        <f t="shared" si="16"/>
        <v>3. High</v>
      </c>
      <c r="AL157" s="1" t="str">
        <f t="shared" si="17"/>
        <v>3. Better</v>
      </c>
    </row>
    <row r="158" spans="1:38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f t="shared" si="12"/>
        <v>0</v>
      </c>
      <c r="AH158" t="str">
        <f t="shared" si="13"/>
        <v>46-55</v>
      </c>
      <c r="AI158" t="str">
        <f t="shared" si="14"/>
        <v>3. 6K-10K</v>
      </c>
      <c r="AJ158" s="1" t="str">
        <f t="shared" si="15"/>
        <v>1. 0-1 yrs</v>
      </c>
      <c r="AK158" s="1" t="str">
        <f t="shared" si="16"/>
        <v>3. High</v>
      </c>
      <c r="AL158" s="1" t="str">
        <f t="shared" si="17"/>
        <v>3. Better</v>
      </c>
    </row>
    <row r="159" spans="1:38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f t="shared" si="12"/>
        <v>0</v>
      </c>
      <c r="AH159" t="str">
        <f t="shared" si="13"/>
        <v>56+</v>
      </c>
      <c r="AI159" t="str">
        <f t="shared" si="14"/>
        <v>2. 3K-6K</v>
      </c>
      <c r="AJ159" s="1" t="str">
        <f t="shared" si="15"/>
        <v>1. 0-1 yrs</v>
      </c>
      <c r="AK159" s="1" t="str">
        <f t="shared" si="16"/>
        <v>2. Medium</v>
      </c>
      <c r="AL159" s="1" t="str">
        <f t="shared" si="17"/>
        <v>2. Good</v>
      </c>
    </row>
    <row r="160" spans="1:38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f t="shared" si="12"/>
        <v>0</v>
      </c>
      <c r="AH160" t="str">
        <f t="shared" si="13"/>
        <v>36-45</v>
      </c>
      <c r="AI160" t="str">
        <f t="shared" si="14"/>
        <v>4. 10K+</v>
      </c>
      <c r="AJ160" s="1" t="str">
        <f t="shared" si="15"/>
        <v>4. 10+ yrs</v>
      </c>
      <c r="AK160" s="1" t="str">
        <f t="shared" si="16"/>
        <v>4. Very High</v>
      </c>
      <c r="AL160" s="1" t="str">
        <f t="shared" si="17"/>
        <v>2. Good</v>
      </c>
    </row>
    <row r="161" spans="1:38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f t="shared" si="12"/>
        <v>0</v>
      </c>
      <c r="AH161" t="str">
        <f t="shared" si="13"/>
        <v>26-35</v>
      </c>
      <c r="AI161" t="str">
        <f t="shared" si="14"/>
        <v>1. Under 3K</v>
      </c>
      <c r="AJ161" s="1" t="str">
        <f t="shared" si="15"/>
        <v>2. 2-5 yrs</v>
      </c>
      <c r="AK161" s="1" t="str">
        <f t="shared" si="16"/>
        <v>3. High</v>
      </c>
      <c r="AL161" s="1" t="str">
        <f t="shared" si="17"/>
        <v>3. Better</v>
      </c>
    </row>
    <row r="162" spans="1:38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f t="shared" si="12"/>
        <v>0</v>
      </c>
      <c r="AH162" t="str">
        <f t="shared" si="13"/>
        <v>18-25</v>
      </c>
      <c r="AI162" t="str">
        <f t="shared" si="14"/>
        <v>1. Under 3K</v>
      </c>
      <c r="AJ162" s="1" t="str">
        <f t="shared" si="15"/>
        <v>2. 2-5 yrs</v>
      </c>
      <c r="AK162" s="1" t="str">
        <f t="shared" si="16"/>
        <v>4. Very High</v>
      </c>
      <c r="AL162" s="1" t="str">
        <f t="shared" si="17"/>
        <v>3. Better</v>
      </c>
    </row>
    <row r="163" spans="1:38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f t="shared" si="12"/>
        <v>0</v>
      </c>
      <c r="AH163" t="str">
        <f t="shared" si="13"/>
        <v>26-35</v>
      </c>
      <c r="AI163" t="str">
        <f t="shared" si="14"/>
        <v>1. Under 3K</v>
      </c>
      <c r="AJ163" s="1" t="str">
        <f t="shared" si="15"/>
        <v>2. 2-5 yrs</v>
      </c>
      <c r="AK163" s="1" t="str">
        <f t="shared" si="16"/>
        <v>2. Medium</v>
      </c>
      <c r="AL163" s="1" t="str">
        <f t="shared" si="17"/>
        <v>1. Bad</v>
      </c>
    </row>
    <row r="164" spans="1:38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f t="shared" si="12"/>
        <v>0</v>
      </c>
      <c r="AH164" t="str">
        <f t="shared" si="13"/>
        <v>26-35</v>
      </c>
      <c r="AI164" t="str">
        <f t="shared" si="14"/>
        <v>1. Under 3K</v>
      </c>
      <c r="AJ164" s="1" t="str">
        <f t="shared" si="15"/>
        <v>2. 2-5 yrs</v>
      </c>
      <c r="AK164" s="1" t="str">
        <f t="shared" si="16"/>
        <v>4. Very High</v>
      </c>
      <c r="AL164" s="1" t="str">
        <f t="shared" si="17"/>
        <v>1. Bad</v>
      </c>
    </row>
    <row r="165" spans="1:38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f t="shared" si="12"/>
        <v>0</v>
      </c>
      <c r="AH165" t="str">
        <f t="shared" si="13"/>
        <v>56+</v>
      </c>
      <c r="AI165" t="str">
        <f t="shared" si="14"/>
        <v>3. 6K-10K</v>
      </c>
      <c r="AJ165" s="1" t="str">
        <f t="shared" si="15"/>
        <v>2. 2-5 yrs</v>
      </c>
      <c r="AK165" s="1" t="str">
        <f t="shared" si="16"/>
        <v>4. Very High</v>
      </c>
      <c r="AL165" s="1" t="str">
        <f t="shared" si="17"/>
        <v>1. Bad</v>
      </c>
    </row>
    <row r="166" spans="1:38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f t="shared" si="12"/>
        <v>0</v>
      </c>
      <c r="AH166" t="str">
        <f t="shared" si="13"/>
        <v>26-35</v>
      </c>
      <c r="AI166" t="str">
        <f t="shared" si="14"/>
        <v>1. Under 3K</v>
      </c>
      <c r="AJ166" s="1" t="str">
        <f t="shared" si="15"/>
        <v>1. 0-1 yrs</v>
      </c>
      <c r="AK166" s="1" t="str">
        <f t="shared" si="16"/>
        <v>3. High</v>
      </c>
      <c r="AL166" s="1" t="str">
        <f t="shared" si="17"/>
        <v>2. Good</v>
      </c>
    </row>
    <row r="167" spans="1:38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f t="shared" si="12"/>
        <v>0</v>
      </c>
      <c r="AH167" t="str">
        <f t="shared" si="13"/>
        <v>46-55</v>
      </c>
      <c r="AI167" t="str">
        <f t="shared" si="14"/>
        <v>4. 10K+</v>
      </c>
      <c r="AJ167" s="1" t="str">
        <f t="shared" si="15"/>
        <v>2. 2-5 yrs</v>
      </c>
      <c r="AK167" s="1" t="str">
        <f t="shared" si="16"/>
        <v>2. Medium</v>
      </c>
      <c r="AL167" s="1" t="str">
        <f t="shared" si="17"/>
        <v>3. Better</v>
      </c>
    </row>
    <row r="168" spans="1:38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f t="shared" si="12"/>
        <v>0</v>
      </c>
      <c r="AH168" t="str">
        <f t="shared" si="13"/>
        <v>36-45</v>
      </c>
      <c r="AI168" t="str">
        <f t="shared" si="14"/>
        <v>1. Under 3K</v>
      </c>
      <c r="AJ168" s="1" t="str">
        <f t="shared" si="15"/>
        <v>3. 6-10 yrs</v>
      </c>
      <c r="AK168" s="1" t="str">
        <f t="shared" si="16"/>
        <v>3. High</v>
      </c>
      <c r="AL168" s="1" t="str">
        <f t="shared" si="17"/>
        <v>3. Better</v>
      </c>
    </row>
    <row r="169" spans="1:38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f t="shared" si="12"/>
        <v>0</v>
      </c>
      <c r="AH169" t="str">
        <f t="shared" si="13"/>
        <v>26-35</v>
      </c>
      <c r="AI169" t="str">
        <f t="shared" si="14"/>
        <v>3. 6K-10K</v>
      </c>
      <c r="AJ169" s="1" t="str">
        <f t="shared" si="15"/>
        <v>3. 6-10 yrs</v>
      </c>
      <c r="AK169" s="1" t="str">
        <f t="shared" si="16"/>
        <v>4. Very High</v>
      </c>
      <c r="AL169" s="1" t="str">
        <f t="shared" si="17"/>
        <v>3. Better</v>
      </c>
    </row>
    <row r="170" spans="1:38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f t="shared" si="12"/>
        <v>0</v>
      </c>
      <c r="AH170" t="str">
        <f t="shared" si="13"/>
        <v>36-45</v>
      </c>
      <c r="AI170" t="str">
        <f t="shared" si="14"/>
        <v>3. 6K-10K</v>
      </c>
      <c r="AJ170" s="1" t="str">
        <f t="shared" si="15"/>
        <v>3. 6-10 yrs</v>
      </c>
      <c r="AK170" s="1" t="str">
        <f t="shared" si="16"/>
        <v>4. Very High</v>
      </c>
      <c r="AL170" s="1" t="str">
        <f t="shared" si="17"/>
        <v>4. Best</v>
      </c>
    </row>
    <row r="171" spans="1:38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f t="shared" si="12"/>
        <v>0</v>
      </c>
      <c r="AH171" t="str">
        <f t="shared" si="13"/>
        <v>26-35</v>
      </c>
      <c r="AI171" t="str">
        <f t="shared" si="14"/>
        <v>2. 3K-6K</v>
      </c>
      <c r="AJ171" s="1" t="str">
        <f t="shared" si="15"/>
        <v>2. 2-5 yrs</v>
      </c>
      <c r="AK171" s="1" t="str">
        <f t="shared" si="16"/>
        <v>3. High</v>
      </c>
      <c r="AL171" s="1" t="str">
        <f t="shared" si="17"/>
        <v>3. Better</v>
      </c>
    </row>
    <row r="172" spans="1:38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f t="shared" si="12"/>
        <v>0</v>
      </c>
      <c r="AH172" t="str">
        <f t="shared" si="13"/>
        <v>26-35</v>
      </c>
      <c r="AI172" t="str">
        <f t="shared" si="14"/>
        <v>2. 3K-6K</v>
      </c>
      <c r="AJ172" s="1" t="str">
        <f t="shared" si="15"/>
        <v>2. 2-5 yrs</v>
      </c>
      <c r="AK172" s="1" t="str">
        <f t="shared" si="16"/>
        <v>2. Medium</v>
      </c>
      <c r="AL172" s="1" t="str">
        <f t="shared" si="17"/>
        <v>2. Good</v>
      </c>
    </row>
    <row r="173" spans="1:38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f t="shared" si="12"/>
        <v>1</v>
      </c>
      <c r="AH173" t="str">
        <f t="shared" si="13"/>
        <v>18-25</v>
      </c>
      <c r="AI173" t="str">
        <f t="shared" si="14"/>
        <v>1. Under 3K</v>
      </c>
      <c r="AJ173" s="1" t="str">
        <f t="shared" si="15"/>
        <v>1. 0-1 yrs</v>
      </c>
      <c r="AK173" s="1" t="str">
        <f t="shared" si="16"/>
        <v>1. Low</v>
      </c>
      <c r="AL173" s="1" t="str">
        <f t="shared" si="17"/>
        <v>4. Best</v>
      </c>
    </row>
    <row r="174" spans="1:38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f t="shared" si="12"/>
        <v>0</v>
      </c>
      <c r="AH174" t="str">
        <f t="shared" si="13"/>
        <v>36-45</v>
      </c>
      <c r="AI174" t="str">
        <f t="shared" si="14"/>
        <v>1. Under 3K</v>
      </c>
      <c r="AJ174" s="1" t="str">
        <f t="shared" si="15"/>
        <v>3. 6-10 yrs</v>
      </c>
      <c r="AK174" s="1" t="str">
        <f t="shared" si="16"/>
        <v>2. Medium</v>
      </c>
      <c r="AL174" s="1" t="str">
        <f t="shared" si="17"/>
        <v>2. Good</v>
      </c>
    </row>
    <row r="175" spans="1:38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f t="shared" si="12"/>
        <v>0</v>
      </c>
      <c r="AH175" t="str">
        <f t="shared" si="13"/>
        <v>26-35</v>
      </c>
      <c r="AI175" t="str">
        <f t="shared" si="14"/>
        <v>2. 3K-6K</v>
      </c>
      <c r="AJ175" s="1" t="str">
        <f t="shared" si="15"/>
        <v>4. 10+ yrs</v>
      </c>
      <c r="AK175" s="1" t="str">
        <f t="shared" si="16"/>
        <v>1. Low</v>
      </c>
      <c r="AL175" s="1" t="str">
        <f t="shared" si="17"/>
        <v>3. Better</v>
      </c>
    </row>
    <row r="176" spans="1:38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f t="shared" si="12"/>
        <v>0</v>
      </c>
      <c r="AH176" t="str">
        <f t="shared" si="13"/>
        <v>36-45</v>
      </c>
      <c r="AI176" t="str">
        <f t="shared" si="14"/>
        <v>2. 3K-6K</v>
      </c>
      <c r="AJ176" s="1" t="str">
        <f t="shared" si="15"/>
        <v>2. 2-5 yrs</v>
      </c>
      <c r="AK176" s="1" t="str">
        <f t="shared" si="16"/>
        <v>1. Low</v>
      </c>
      <c r="AL176" s="1" t="str">
        <f t="shared" si="17"/>
        <v>4. Best</v>
      </c>
    </row>
    <row r="177" spans="1:38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f t="shared" si="12"/>
        <v>0</v>
      </c>
      <c r="AH177" t="str">
        <f t="shared" si="13"/>
        <v>56+</v>
      </c>
      <c r="AI177" t="str">
        <f t="shared" si="14"/>
        <v>2. 3K-6K</v>
      </c>
      <c r="AJ177" s="1" t="str">
        <f t="shared" si="15"/>
        <v>2. 2-5 yrs</v>
      </c>
      <c r="AK177" s="1" t="str">
        <f t="shared" si="16"/>
        <v>1. Low</v>
      </c>
      <c r="AL177" s="1" t="str">
        <f t="shared" si="17"/>
        <v>3. Better</v>
      </c>
    </row>
    <row r="178" spans="1:38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f t="shared" si="12"/>
        <v>0</v>
      </c>
      <c r="AH178" t="str">
        <f t="shared" si="13"/>
        <v>26-35</v>
      </c>
      <c r="AI178" t="str">
        <f t="shared" si="14"/>
        <v>1. Under 3K</v>
      </c>
      <c r="AJ178" s="1" t="str">
        <f t="shared" si="15"/>
        <v>2. 2-5 yrs</v>
      </c>
      <c r="AK178" s="1" t="str">
        <f t="shared" si="16"/>
        <v>4. Very High</v>
      </c>
      <c r="AL178" s="1" t="str">
        <f t="shared" si="17"/>
        <v>4. Best</v>
      </c>
    </row>
    <row r="179" spans="1:38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f t="shared" si="12"/>
        <v>1</v>
      </c>
      <c r="AH179" t="str">
        <f t="shared" si="13"/>
        <v>18-25</v>
      </c>
      <c r="AI179" t="str">
        <f t="shared" si="14"/>
        <v>1. Under 3K</v>
      </c>
      <c r="AJ179" s="1" t="str">
        <f t="shared" si="15"/>
        <v>1. 0-1 yrs</v>
      </c>
      <c r="AK179" s="1" t="str">
        <f t="shared" si="16"/>
        <v>4. Very High</v>
      </c>
      <c r="AL179" s="1" t="str">
        <f t="shared" si="17"/>
        <v>2. Good</v>
      </c>
    </row>
    <row r="180" spans="1:38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f t="shared" si="12"/>
        <v>0</v>
      </c>
      <c r="AH180" t="str">
        <f t="shared" si="13"/>
        <v>46-55</v>
      </c>
      <c r="AI180" t="str">
        <f t="shared" si="14"/>
        <v>4. 10K+</v>
      </c>
      <c r="AJ180" s="1" t="str">
        <f t="shared" si="15"/>
        <v>4. 10+ yrs</v>
      </c>
      <c r="AK180" s="1" t="str">
        <f t="shared" si="16"/>
        <v>1. Low</v>
      </c>
      <c r="AL180" s="1" t="str">
        <f t="shared" si="17"/>
        <v>3. Better</v>
      </c>
    </row>
    <row r="181" spans="1:38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f t="shared" si="12"/>
        <v>0</v>
      </c>
      <c r="AH181" t="str">
        <f t="shared" si="13"/>
        <v>36-45</v>
      </c>
      <c r="AI181" t="str">
        <f t="shared" si="14"/>
        <v>1. Under 3K</v>
      </c>
      <c r="AJ181" s="1" t="str">
        <f t="shared" si="15"/>
        <v>2. 2-5 yrs</v>
      </c>
      <c r="AK181" s="1" t="str">
        <f t="shared" si="16"/>
        <v>4. Very High</v>
      </c>
      <c r="AL181" s="1" t="str">
        <f t="shared" si="17"/>
        <v>3. Better</v>
      </c>
    </row>
    <row r="182" spans="1:38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f t="shared" si="12"/>
        <v>0</v>
      </c>
      <c r="AH182" t="str">
        <f t="shared" si="13"/>
        <v>26-35</v>
      </c>
      <c r="AI182" t="str">
        <f t="shared" si="14"/>
        <v>2. 3K-6K</v>
      </c>
      <c r="AJ182" s="1" t="str">
        <f t="shared" si="15"/>
        <v>2. 2-5 yrs</v>
      </c>
      <c r="AK182" s="1" t="str">
        <f t="shared" si="16"/>
        <v>4. Very High</v>
      </c>
      <c r="AL182" s="1" t="str">
        <f t="shared" si="17"/>
        <v>3. Better</v>
      </c>
    </row>
    <row r="183" spans="1:38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f t="shared" si="12"/>
        <v>0</v>
      </c>
      <c r="AH183" t="str">
        <f t="shared" si="13"/>
        <v>26-35</v>
      </c>
      <c r="AI183" t="str">
        <f t="shared" si="14"/>
        <v>1. Under 3K</v>
      </c>
      <c r="AJ183" s="1" t="str">
        <f t="shared" si="15"/>
        <v>2. 2-5 yrs</v>
      </c>
      <c r="AK183" s="1" t="str">
        <f t="shared" si="16"/>
        <v>2. Medium</v>
      </c>
      <c r="AL183" s="1" t="str">
        <f t="shared" si="17"/>
        <v>3. Better</v>
      </c>
    </row>
    <row r="184" spans="1:38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f t="shared" si="12"/>
        <v>1</v>
      </c>
      <c r="AH184" t="str">
        <f t="shared" si="13"/>
        <v>36-45</v>
      </c>
      <c r="AI184" t="str">
        <f t="shared" si="14"/>
        <v>2. 3K-6K</v>
      </c>
      <c r="AJ184" s="1" t="str">
        <f t="shared" si="15"/>
        <v>2. 2-5 yrs</v>
      </c>
      <c r="AK184" s="1" t="str">
        <f t="shared" si="16"/>
        <v>2. Medium</v>
      </c>
      <c r="AL184" s="1" t="str">
        <f t="shared" si="17"/>
        <v>2. Good</v>
      </c>
    </row>
    <row r="185" spans="1:38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f t="shared" si="12"/>
        <v>0</v>
      </c>
      <c r="AH185" t="str">
        <f t="shared" si="13"/>
        <v>46-55</v>
      </c>
      <c r="AI185" t="str">
        <f t="shared" si="14"/>
        <v>2. 3K-6K</v>
      </c>
      <c r="AJ185" s="1" t="str">
        <f t="shared" si="15"/>
        <v>2. 2-5 yrs</v>
      </c>
      <c r="AK185" s="1" t="str">
        <f t="shared" si="16"/>
        <v>3. High</v>
      </c>
      <c r="AL185" s="1" t="str">
        <f t="shared" si="17"/>
        <v>2. Good</v>
      </c>
    </row>
    <row r="186" spans="1:38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f t="shared" si="12"/>
        <v>0</v>
      </c>
      <c r="AH186" t="str">
        <f t="shared" si="13"/>
        <v>46-55</v>
      </c>
      <c r="AI186" t="str">
        <f t="shared" si="14"/>
        <v>2. 3K-6K</v>
      </c>
      <c r="AJ186" s="1" t="str">
        <f t="shared" si="15"/>
        <v>2. 2-5 yrs</v>
      </c>
      <c r="AK186" s="1" t="str">
        <f t="shared" si="16"/>
        <v>1. Low</v>
      </c>
      <c r="AL186" s="1" t="str">
        <f t="shared" si="17"/>
        <v>3. Better</v>
      </c>
    </row>
    <row r="187" spans="1:38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f t="shared" si="12"/>
        <v>0</v>
      </c>
      <c r="AH187" t="str">
        <f t="shared" si="13"/>
        <v>26-35</v>
      </c>
      <c r="AI187" t="str">
        <f t="shared" si="14"/>
        <v>1. Under 3K</v>
      </c>
      <c r="AJ187" s="1" t="str">
        <f t="shared" si="15"/>
        <v>3. 6-10 yrs</v>
      </c>
      <c r="AK187" s="1" t="str">
        <f t="shared" si="16"/>
        <v>2. Medium</v>
      </c>
      <c r="AL187" s="1" t="str">
        <f t="shared" si="17"/>
        <v>3. Better</v>
      </c>
    </row>
    <row r="188" spans="1:38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f t="shared" si="12"/>
        <v>0</v>
      </c>
      <c r="AH188" t="str">
        <f t="shared" si="13"/>
        <v>36-45</v>
      </c>
      <c r="AI188" t="str">
        <f t="shared" si="14"/>
        <v>4. 10K+</v>
      </c>
      <c r="AJ188" s="1" t="str">
        <f t="shared" si="15"/>
        <v>4. 10+ yrs</v>
      </c>
      <c r="AK188" s="1" t="str">
        <f t="shared" si="16"/>
        <v>3. High</v>
      </c>
      <c r="AL188" s="1" t="str">
        <f t="shared" si="17"/>
        <v>3. Better</v>
      </c>
    </row>
    <row r="189" spans="1:38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f t="shared" si="12"/>
        <v>0</v>
      </c>
      <c r="AH189" t="str">
        <f t="shared" si="13"/>
        <v>46-55</v>
      </c>
      <c r="AI189" t="str">
        <f t="shared" si="14"/>
        <v>4. 10K+</v>
      </c>
      <c r="AJ189" s="1" t="str">
        <f t="shared" si="15"/>
        <v>4. 10+ yrs</v>
      </c>
      <c r="AK189" s="1" t="str">
        <f t="shared" si="16"/>
        <v>2. Medium</v>
      </c>
      <c r="AL189" s="1" t="str">
        <f t="shared" si="17"/>
        <v>3. Better</v>
      </c>
    </row>
    <row r="190" spans="1:38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f t="shared" si="12"/>
        <v>0</v>
      </c>
      <c r="AH190" t="str">
        <f t="shared" si="13"/>
        <v>26-35</v>
      </c>
      <c r="AI190" t="str">
        <f t="shared" si="14"/>
        <v>3. 6K-10K</v>
      </c>
      <c r="AJ190" s="1" t="str">
        <f t="shared" si="15"/>
        <v>3. 6-10 yrs</v>
      </c>
      <c r="AK190" s="1" t="str">
        <f t="shared" si="16"/>
        <v>3. High</v>
      </c>
      <c r="AL190" s="1" t="str">
        <f t="shared" si="17"/>
        <v>2. Good</v>
      </c>
    </row>
    <row r="191" spans="1:38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f t="shared" si="12"/>
        <v>0</v>
      </c>
      <c r="AH191" t="str">
        <f t="shared" si="13"/>
        <v>46-55</v>
      </c>
      <c r="AI191" t="str">
        <f t="shared" si="14"/>
        <v>4. 10K+</v>
      </c>
      <c r="AJ191" s="1" t="str">
        <f t="shared" si="15"/>
        <v>3. 6-10 yrs</v>
      </c>
      <c r="AK191" s="1" t="str">
        <f t="shared" si="16"/>
        <v>2. Medium</v>
      </c>
      <c r="AL191" s="1" t="str">
        <f t="shared" si="17"/>
        <v>3. Better</v>
      </c>
    </row>
    <row r="192" spans="1:38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f t="shared" si="12"/>
        <v>0</v>
      </c>
      <c r="AH192" t="str">
        <f t="shared" si="13"/>
        <v>46-55</v>
      </c>
      <c r="AI192" t="str">
        <f t="shared" si="14"/>
        <v>4. 10K+</v>
      </c>
      <c r="AJ192" s="1" t="str">
        <f t="shared" si="15"/>
        <v>4. 10+ yrs</v>
      </c>
      <c r="AK192" s="1" t="str">
        <f t="shared" si="16"/>
        <v>3. High</v>
      </c>
      <c r="AL192" s="1" t="str">
        <f t="shared" si="17"/>
        <v>3. Better</v>
      </c>
    </row>
    <row r="193" spans="1:38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f t="shared" si="12"/>
        <v>0</v>
      </c>
      <c r="AH193" t="str">
        <f t="shared" si="13"/>
        <v>26-35</v>
      </c>
      <c r="AI193" t="str">
        <f t="shared" si="14"/>
        <v>1. Under 3K</v>
      </c>
      <c r="AJ193" s="1" t="str">
        <f t="shared" si="15"/>
        <v>3. 6-10 yrs</v>
      </c>
      <c r="AK193" s="1" t="str">
        <f t="shared" si="16"/>
        <v>2. Medium</v>
      </c>
      <c r="AL193" s="1" t="str">
        <f t="shared" si="17"/>
        <v>2. Good</v>
      </c>
    </row>
    <row r="194" spans="1:38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f t="shared" ref="AG194:AG199" si="18">IF(B194="Yes",1,0)</f>
        <v>1</v>
      </c>
      <c r="AH194" t="str">
        <f t="shared" ref="AH194:AH257" si="19">IF(A194&lt;26,"18-25",IF(A194&lt;36,"26-35",IF(A194&lt;46,"36-45",IF(A194&lt;56,"46-55","56+"))))</f>
        <v>26-35</v>
      </c>
      <c r="AI194" t="str">
        <f t="shared" ref="AI194:AI257" si="20">IF(R194&lt;3000,"1. Under 3K",IF(R194&lt;6000,"2. 3K-6K",IF(R194&lt;10000,"3. 6K-10K","4. 10K+")))</f>
        <v>2. 3K-6K</v>
      </c>
      <c r="AJ194" s="1" t="str">
        <f t="shared" ref="AJ194:AJ257" si="21">IF(AC194&lt;2,"1. 0-1 yrs",IF(AC194&lt;6,"2. 2-5 yrs",IF(AC194&lt;11,"3. 6-10 yrs","4. 10+ yrs")))</f>
        <v>1. 0-1 yrs</v>
      </c>
      <c r="AK194" s="1" t="str">
        <f t="shared" ref="AK194:AK257" si="22">CHOOSE(P194,"1. Low","2. Medium","3. High","4. Very High")</f>
        <v>3. High</v>
      </c>
      <c r="AL194" s="1" t="str">
        <f t="shared" ref="AL194:AL257" si="23">CHOOSE(AB194,"1. Bad","2. Good","3. Better","4. Best")</f>
        <v>3. Better</v>
      </c>
    </row>
    <row r="195" spans="1:38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f t="shared" si="18"/>
        <v>0</v>
      </c>
      <c r="AH195" t="str">
        <f t="shared" si="19"/>
        <v>36-45</v>
      </c>
      <c r="AI195" t="str">
        <f t="shared" si="20"/>
        <v>1. Under 3K</v>
      </c>
      <c r="AJ195" s="1" t="str">
        <f t="shared" si="21"/>
        <v>2. 2-5 yrs</v>
      </c>
      <c r="AK195" s="1" t="str">
        <f t="shared" si="22"/>
        <v>4. Very High</v>
      </c>
      <c r="AL195" s="1" t="str">
        <f t="shared" si="23"/>
        <v>4. Best</v>
      </c>
    </row>
    <row r="196" spans="1:38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f t="shared" si="18"/>
        <v>0</v>
      </c>
      <c r="AH196" t="str">
        <f t="shared" si="19"/>
        <v>36-45</v>
      </c>
      <c r="AI196" t="str">
        <f t="shared" si="20"/>
        <v>4. 10K+</v>
      </c>
      <c r="AJ196" s="1" t="str">
        <f t="shared" si="21"/>
        <v>4. 10+ yrs</v>
      </c>
      <c r="AK196" s="1" t="str">
        <f t="shared" si="22"/>
        <v>4. Very High</v>
      </c>
      <c r="AL196" s="1" t="str">
        <f t="shared" si="23"/>
        <v>3. Better</v>
      </c>
    </row>
    <row r="197" spans="1:38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f t="shared" si="18"/>
        <v>0</v>
      </c>
      <c r="AH197" t="str">
        <f t="shared" si="19"/>
        <v>36-45</v>
      </c>
      <c r="AI197" t="str">
        <f t="shared" si="20"/>
        <v>2. 3K-6K</v>
      </c>
      <c r="AJ197" s="1" t="str">
        <f t="shared" si="21"/>
        <v>3. 6-10 yrs</v>
      </c>
      <c r="AK197" s="1" t="str">
        <f t="shared" si="22"/>
        <v>1. Low</v>
      </c>
      <c r="AL197" s="1" t="str">
        <f t="shared" si="23"/>
        <v>2. Good</v>
      </c>
    </row>
    <row r="198" spans="1:38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f t="shared" si="18"/>
        <v>0</v>
      </c>
      <c r="AH198" t="str">
        <f t="shared" si="19"/>
        <v>26-35</v>
      </c>
      <c r="AI198" t="str">
        <f t="shared" si="20"/>
        <v>2. 3K-6K</v>
      </c>
      <c r="AJ198" s="1" t="str">
        <f t="shared" si="21"/>
        <v>3. 6-10 yrs</v>
      </c>
      <c r="AK198" s="1" t="str">
        <f t="shared" si="22"/>
        <v>2. Medium</v>
      </c>
      <c r="AL198" s="1" t="str">
        <f t="shared" si="23"/>
        <v>3. Better</v>
      </c>
    </row>
    <row r="199" spans="1:38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f t="shared" si="18"/>
        <v>0</v>
      </c>
      <c r="AH199" t="str">
        <f t="shared" si="19"/>
        <v>36-45</v>
      </c>
      <c r="AI199" t="str">
        <f t="shared" si="20"/>
        <v>2. 3K-6K</v>
      </c>
      <c r="AJ199" s="1" t="str">
        <f t="shared" si="21"/>
        <v>2. 2-5 yrs</v>
      </c>
      <c r="AK199" s="1" t="str">
        <f t="shared" si="22"/>
        <v>3. High</v>
      </c>
      <c r="AL199" s="1" t="str">
        <f t="shared" si="23"/>
        <v>3. Better</v>
      </c>
    </row>
    <row r="200" spans="1:38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f t="shared" ref="AG194:AG257" si="24">IF(B200="Yes",1,0)</f>
        <v>0</v>
      </c>
      <c r="AH200" t="str">
        <f t="shared" si="19"/>
        <v>36-45</v>
      </c>
      <c r="AI200" t="str">
        <f t="shared" si="20"/>
        <v>3. 6K-10K</v>
      </c>
      <c r="AJ200" s="1" t="str">
        <f t="shared" si="21"/>
        <v>1. 0-1 yrs</v>
      </c>
      <c r="AK200" s="1" t="str">
        <f t="shared" si="22"/>
        <v>3. High</v>
      </c>
      <c r="AL200" s="1" t="str">
        <f t="shared" si="23"/>
        <v>3. Better</v>
      </c>
    </row>
    <row r="201" spans="1:38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f t="shared" si="24"/>
        <v>0</v>
      </c>
      <c r="AH201" t="str">
        <f t="shared" si="19"/>
        <v>36-45</v>
      </c>
      <c r="AI201" t="str">
        <f t="shared" si="20"/>
        <v>3. 6K-10K</v>
      </c>
      <c r="AJ201" s="1" t="str">
        <f t="shared" si="21"/>
        <v>3. 6-10 yrs</v>
      </c>
      <c r="AK201" s="1" t="str">
        <f t="shared" si="22"/>
        <v>4. Very High</v>
      </c>
      <c r="AL201" s="1" t="str">
        <f t="shared" si="23"/>
        <v>1. Bad</v>
      </c>
    </row>
    <row r="202" spans="1:38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f t="shared" si="24"/>
        <v>0</v>
      </c>
      <c r="AH202" t="str">
        <f t="shared" si="19"/>
        <v>26-35</v>
      </c>
      <c r="AI202" t="str">
        <f t="shared" si="20"/>
        <v>2. 3K-6K</v>
      </c>
      <c r="AJ202" s="1" t="str">
        <f t="shared" si="21"/>
        <v>2. 2-5 yrs</v>
      </c>
      <c r="AK202" s="1" t="str">
        <f t="shared" si="22"/>
        <v>1. Low</v>
      </c>
      <c r="AL202" s="1" t="str">
        <f t="shared" si="23"/>
        <v>3. Better</v>
      </c>
    </row>
    <row r="203" spans="1:38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f t="shared" si="24"/>
        <v>0</v>
      </c>
      <c r="AH203" t="str">
        <f t="shared" si="19"/>
        <v>46-55</v>
      </c>
      <c r="AI203" t="str">
        <f t="shared" si="20"/>
        <v>3. 6K-10K</v>
      </c>
      <c r="AJ203" s="1" t="str">
        <f t="shared" si="21"/>
        <v>3. 6-10 yrs</v>
      </c>
      <c r="AK203" s="1" t="str">
        <f t="shared" si="22"/>
        <v>4. Very High</v>
      </c>
      <c r="AL203" s="1" t="str">
        <f t="shared" si="23"/>
        <v>3. Better</v>
      </c>
    </row>
    <row r="204" spans="1:38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f t="shared" si="24"/>
        <v>0</v>
      </c>
      <c r="AH204" t="str">
        <f t="shared" si="19"/>
        <v>26-35</v>
      </c>
      <c r="AI204" t="str">
        <f t="shared" si="20"/>
        <v>2. 3K-6K</v>
      </c>
      <c r="AJ204" s="1" t="str">
        <f t="shared" si="21"/>
        <v>2. 2-5 yrs</v>
      </c>
      <c r="AK204" s="1" t="str">
        <f t="shared" si="22"/>
        <v>3. High</v>
      </c>
      <c r="AL204" s="1" t="str">
        <f t="shared" si="23"/>
        <v>4. Best</v>
      </c>
    </row>
    <row r="205" spans="1:38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f t="shared" si="24"/>
        <v>0</v>
      </c>
      <c r="AH205" t="str">
        <f t="shared" si="19"/>
        <v>36-45</v>
      </c>
      <c r="AI205" t="str">
        <f t="shared" si="20"/>
        <v>1. Under 3K</v>
      </c>
      <c r="AJ205" s="1" t="str">
        <f t="shared" si="21"/>
        <v>3. 6-10 yrs</v>
      </c>
      <c r="AK205" s="1" t="str">
        <f t="shared" si="22"/>
        <v>4. Very High</v>
      </c>
      <c r="AL205" s="1" t="str">
        <f t="shared" si="23"/>
        <v>4. Best</v>
      </c>
    </row>
    <row r="206" spans="1:38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f t="shared" si="24"/>
        <v>1</v>
      </c>
      <c r="AH206" t="str">
        <f t="shared" si="19"/>
        <v>36-45</v>
      </c>
      <c r="AI206" t="str">
        <f t="shared" si="20"/>
        <v>3. 6K-10K</v>
      </c>
      <c r="AJ206" s="1" t="str">
        <f t="shared" si="21"/>
        <v>1. 0-1 yrs</v>
      </c>
      <c r="AK206" s="1" t="str">
        <f t="shared" si="22"/>
        <v>1. Low</v>
      </c>
      <c r="AL206" s="1" t="str">
        <f t="shared" si="23"/>
        <v>3. Better</v>
      </c>
    </row>
    <row r="207" spans="1:38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f t="shared" si="24"/>
        <v>1</v>
      </c>
      <c r="AH207" t="str">
        <f t="shared" si="19"/>
        <v>26-35</v>
      </c>
      <c r="AI207" t="str">
        <f t="shared" si="20"/>
        <v>3. 6K-10K</v>
      </c>
      <c r="AJ207" s="1" t="str">
        <f t="shared" si="21"/>
        <v>3. 6-10 yrs</v>
      </c>
      <c r="AK207" s="1" t="str">
        <f t="shared" si="22"/>
        <v>4. Very High</v>
      </c>
      <c r="AL207" s="1" t="str">
        <f t="shared" si="23"/>
        <v>2. Good</v>
      </c>
    </row>
    <row r="208" spans="1:38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f t="shared" si="24"/>
        <v>0</v>
      </c>
      <c r="AH208" t="str">
        <f t="shared" si="19"/>
        <v>18-25</v>
      </c>
      <c r="AI208" t="str">
        <f t="shared" si="20"/>
        <v>1. Under 3K</v>
      </c>
      <c r="AJ208" s="1" t="str">
        <f t="shared" si="21"/>
        <v>2. 2-5 yrs</v>
      </c>
      <c r="AK208" s="1" t="str">
        <f t="shared" si="22"/>
        <v>2. Medium</v>
      </c>
      <c r="AL208" s="1" t="str">
        <f t="shared" si="23"/>
        <v>2. Good</v>
      </c>
    </row>
    <row r="209" spans="1:38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f t="shared" si="24"/>
        <v>0</v>
      </c>
      <c r="AH209" t="str">
        <f t="shared" si="19"/>
        <v>36-45</v>
      </c>
      <c r="AI209" t="str">
        <f t="shared" si="20"/>
        <v>1. Under 3K</v>
      </c>
      <c r="AJ209" s="1" t="str">
        <f t="shared" si="21"/>
        <v>3. 6-10 yrs</v>
      </c>
      <c r="AK209" s="1" t="str">
        <f t="shared" si="22"/>
        <v>4. Very High</v>
      </c>
      <c r="AL209" s="1" t="str">
        <f t="shared" si="23"/>
        <v>3. Better</v>
      </c>
    </row>
    <row r="210" spans="1:38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f t="shared" si="24"/>
        <v>0</v>
      </c>
      <c r="AH210" t="str">
        <f t="shared" si="19"/>
        <v>36-45</v>
      </c>
      <c r="AI210" t="str">
        <f t="shared" si="20"/>
        <v>2. 3K-6K</v>
      </c>
      <c r="AJ210" s="1" t="str">
        <f t="shared" si="21"/>
        <v>2. 2-5 yrs</v>
      </c>
      <c r="AK210" s="1" t="str">
        <f t="shared" si="22"/>
        <v>4. Very High</v>
      </c>
      <c r="AL210" s="1" t="str">
        <f t="shared" si="23"/>
        <v>1. Bad</v>
      </c>
    </row>
    <row r="211" spans="1:38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f t="shared" si="24"/>
        <v>0</v>
      </c>
      <c r="AH211" t="str">
        <f t="shared" si="19"/>
        <v>46-55</v>
      </c>
      <c r="AI211" t="str">
        <f t="shared" si="20"/>
        <v>3. 6K-10K</v>
      </c>
      <c r="AJ211" s="1" t="str">
        <f t="shared" si="21"/>
        <v>2. 2-5 yrs</v>
      </c>
      <c r="AK211" s="1" t="str">
        <f t="shared" si="22"/>
        <v>1. Low</v>
      </c>
      <c r="AL211" s="1" t="str">
        <f t="shared" si="23"/>
        <v>3. Better</v>
      </c>
    </row>
    <row r="212" spans="1:38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f t="shared" si="24"/>
        <v>1</v>
      </c>
      <c r="AH212" t="str">
        <f t="shared" si="19"/>
        <v>26-35</v>
      </c>
      <c r="AI212" t="str">
        <f t="shared" si="20"/>
        <v>4. 10K+</v>
      </c>
      <c r="AJ212" s="1" t="str">
        <f t="shared" si="21"/>
        <v>4. 10+ yrs</v>
      </c>
      <c r="AK212" s="1" t="str">
        <f t="shared" si="22"/>
        <v>4. Very High</v>
      </c>
      <c r="AL212" s="1" t="str">
        <f t="shared" si="23"/>
        <v>2. Good</v>
      </c>
    </row>
    <row r="213" spans="1:38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f t="shared" si="24"/>
        <v>0</v>
      </c>
      <c r="AH213" t="str">
        <f t="shared" si="19"/>
        <v>26-35</v>
      </c>
      <c r="AI213" t="str">
        <f t="shared" si="20"/>
        <v>3. 6K-10K</v>
      </c>
      <c r="AJ213" s="1" t="str">
        <f t="shared" si="21"/>
        <v>4. 10+ yrs</v>
      </c>
      <c r="AK213" s="1" t="str">
        <f t="shared" si="22"/>
        <v>3. High</v>
      </c>
      <c r="AL213" s="1" t="str">
        <f t="shared" si="23"/>
        <v>3. Better</v>
      </c>
    </row>
    <row r="214" spans="1:38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f t="shared" si="24"/>
        <v>0</v>
      </c>
      <c r="AH214" t="str">
        <f t="shared" si="19"/>
        <v>26-35</v>
      </c>
      <c r="AI214" t="str">
        <f t="shared" si="20"/>
        <v>3. 6K-10K</v>
      </c>
      <c r="AJ214" s="1" t="str">
        <f t="shared" si="21"/>
        <v>3. 6-10 yrs</v>
      </c>
      <c r="AK214" s="1" t="str">
        <f t="shared" si="22"/>
        <v>3. High</v>
      </c>
      <c r="AL214" s="1" t="str">
        <f t="shared" si="23"/>
        <v>3. Better</v>
      </c>
    </row>
    <row r="215" spans="1:38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f t="shared" si="24"/>
        <v>0</v>
      </c>
      <c r="AH215" t="str">
        <f t="shared" si="19"/>
        <v>46-55</v>
      </c>
      <c r="AI215" t="str">
        <f t="shared" si="20"/>
        <v>4. 10K+</v>
      </c>
      <c r="AJ215" s="1" t="str">
        <f t="shared" si="21"/>
        <v>3. 6-10 yrs</v>
      </c>
      <c r="AK215" s="1" t="str">
        <f t="shared" si="22"/>
        <v>2. Medium</v>
      </c>
      <c r="AL215" s="1" t="str">
        <f t="shared" si="23"/>
        <v>1. Bad</v>
      </c>
    </row>
    <row r="216" spans="1:38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f t="shared" si="24"/>
        <v>1</v>
      </c>
      <c r="AH216" t="str">
        <f t="shared" si="19"/>
        <v>26-35</v>
      </c>
      <c r="AI216" t="str">
        <f t="shared" si="20"/>
        <v>1. Under 3K</v>
      </c>
      <c r="AJ216" s="1" t="str">
        <f t="shared" si="21"/>
        <v>2. 2-5 yrs</v>
      </c>
      <c r="AK216" s="1" t="str">
        <f t="shared" si="22"/>
        <v>1. Low</v>
      </c>
      <c r="AL216" s="1" t="str">
        <f t="shared" si="23"/>
        <v>3. Better</v>
      </c>
    </row>
    <row r="217" spans="1:38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f t="shared" si="24"/>
        <v>0</v>
      </c>
      <c r="AH217" t="str">
        <f t="shared" si="19"/>
        <v>36-45</v>
      </c>
      <c r="AI217" t="str">
        <f t="shared" si="20"/>
        <v>4. 10K+</v>
      </c>
      <c r="AJ217" s="1" t="str">
        <f t="shared" si="21"/>
        <v>1. 0-1 yrs</v>
      </c>
      <c r="AK217" s="1" t="str">
        <f t="shared" si="22"/>
        <v>4. Very High</v>
      </c>
      <c r="AL217" s="1" t="str">
        <f t="shared" si="23"/>
        <v>3. Better</v>
      </c>
    </row>
    <row r="218" spans="1:38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f t="shared" si="24"/>
        <v>1</v>
      </c>
      <c r="AH218" t="str">
        <f t="shared" si="19"/>
        <v>26-35</v>
      </c>
      <c r="AI218" t="str">
        <f t="shared" si="20"/>
        <v>3. 6K-10K</v>
      </c>
      <c r="AJ218" s="1" t="str">
        <f t="shared" si="21"/>
        <v>3. 6-10 yrs</v>
      </c>
      <c r="AK218" s="1" t="str">
        <f t="shared" si="22"/>
        <v>1. Low</v>
      </c>
      <c r="AL218" s="1" t="str">
        <f t="shared" si="23"/>
        <v>2. Good</v>
      </c>
    </row>
    <row r="219" spans="1:38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f t="shared" si="24"/>
        <v>1</v>
      </c>
      <c r="AH219" t="str">
        <f t="shared" si="19"/>
        <v>26-35</v>
      </c>
      <c r="AI219" t="str">
        <f t="shared" si="20"/>
        <v>1. Under 3K</v>
      </c>
      <c r="AJ219" s="1" t="str">
        <f t="shared" si="21"/>
        <v>3. 6-10 yrs</v>
      </c>
      <c r="AK219" s="1" t="str">
        <f t="shared" si="22"/>
        <v>3. High</v>
      </c>
      <c r="AL219" s="1" t="str">
        <f t="shared" si="23"/>
        <v>2. Good</v>
      </c>
    </row>
    <row r="220" spans="1:38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f t="shared" si="24"/>
        <v>0</v>
      </c>
      <c r="AH220" t="str">
        <f t="shared" si="19"/>
        <v>36-45</v>
      </c>
      <c r="AI220" t="str">
        <f t="shared" si="20"/>
        <v>3. 6K-10K</v>
      </c>
      <c r="AJ220" s="1" t="str">
        <f t="shared" si="21"/>
        <v>4. 10+ yrs</v>
      </c>
      <c r="AK220" s="1" t="str">
        <f t="shared" si="22"/>
        <v>4. Very High</v>
      </c>
      <c r="AL220" s="1" t="str">
        <f t="shared" si="23"/>
        <v>3. Better</v>
      </c>
    </row>
    <row r="221" spans="1:38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f t="shared" si="24"/>
        <v>0</v>
      </c>
      <c r="AH221" t="str">
        <f t="shared" si="19"/>
        <v>46-55</v>
      </c>
      <c r="AI221" t="str">
        <f t="shared" si="20"/>
        <v>2. 3K-6K</v>
      </c>
      <c r="AJ221" s="1" t="str">
        <f t="shared" si="21"/>
        <v>3. 6-10 yrs</v>
      </c>
      <c r="AK221" s="1" t="str">
        <f t="shared" si="22"/>
        <v>1. Low</v>
      </c>
      <c r="AL221" s="1" t="str">
        <f t="shared" si="23"/>
        <v>3. Better</v>
      </c>
    </row>
    <row r="222" spans="1:38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f t="shared" si="24"/>
        <v>0</v>
      </c>
      <c r="AH222" t="str">
        <f t="shared" si="19"/>
        <v>36-45</v>
      </c>
      <c r="AI222" t="str">
        <f t="shared" si="20"/>
        <v>2. 3K-6K</v>
      </c>
      <c r="AJ222" s="1" t="str">
        <f t="shared" si="21"/>
        <v>4. 10+ yrs</v>
      </c>
      <c r="AK222" s="1" t="str">
        <f t="shared" si="22"/>
        <v>2. Medium</v>
      </c>
      <c r="AL222" s="1" t="str">
        <f t="shared" si="23"/>
        <v>4. Best</v>
      </c>
    </row>
    <row r="223" spans="1:38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f t="shared" si="24"/>
        <v>0</v>
      </c>
      <c r="AH223" t="str">
        <f t="shared" si="19"/>
        <v>26-35</v>
      </c>
      <c r="AI223" t="str">
        <f t="shared" si="20"/>
        <v>1. Under 3K</v>
      </c>
      <c r="AJ223" s="1" t="str">
        <f t="shared" si="21"/>
        <v>2. 2-5 yrs</v>
      </c>
      <c r="AK223" s="1" t="str">
        <f t="shared" si="22"/>
        <v>2. Medium</v>
      </c>
      <c r="AL223" s="1" t="str">
        <f t="shared" si="23"/>
        <v>3. Better</v>
      </c>
    </row>
    <row r="224" spans="1:38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f t="shared" si="24"/>
        <v>0</v>
      </c>
      <c r="AH224" t="str">
        <f t="shared" si="19"/>
        <v>36-45</v>
      </c>
      <c r="AI224" t="str">
        <f t="shared" si="20"/>
        <v>4. 10K+</v>
      </c>
      <c r="AJ224" s="1" t="str">
        <f t="shared" si="21"/>
        <v>3. 6-10 yrs</v>
      </c>
      <c r="AK224" s="1" t="str">
        <f t="shared" si="22"/>
        <v>4. Very High</v>
      </c>
      <c r="AL224" s="1" t="str">
        <f t="shared" si="23"/>
        <v>3. Better</v>
      </c>
    </row>
    <row r="225" spans="1:38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f t="shared" si="24"/>
        <v>0</v>
      </c>
      <c r="AH225" t="str">
        <f t="shared" si="19"/>
        <v>36-45</v>
      </c>
      <c r="AI225" t="str">
        <f t="shared" si="20"/>
        <v>4. 10K+</v>
      </c>
      <c r="AJ225" s="1" t="str">
        <f t="shared" si="21"/>
        <v>4. 10+ yrs</v>
      </c>
      <c r="AK225" s="1" t="str">
        <f t="shared" si="22"/>
        <v>3. High</v>
      </c>
      <c r="AL225" s="1" t="str">
        <f t="shared" si="23"/>
        <v>2. Good</v>
      </c>
    </row>
    <row r="226" spans="1:38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f t="shared" si="24"/>
        <v>0</v>
      </c>
      <c r="AH226" t="str">
        <f t="shared" si="19"/>
        <v>26-35</v>
      </c>
      <c r="AI226" t="str">
        <f t="shared" si="20"/>
        <v>2. 3K-6K</v>
      </c>
      <c r="AJ226" s="1" t="str">
        <f t="shared" si="21"/>
        <v>2. 2-5 yrs</v>
      </c>
      <c r="AK226" s="1" t="str">
        <f t="shared" si="22"/>
        <v>3. High</v>
      </c>
      <c r="AL226" s="1" t="str">
        <f t="shared" si="23"/>
        <v>3. Better</v>
      </c>
    </row>
    <row r="227" spans="1:38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f t="shared" si="24"/>
        <v>0</v>
      </c>
      <c r="AH227" t="str">
        <f t="shared" si="19"/>
        <v>56+</v>
      </c>
      <c r="AI227" t="str">
        <f t="shared" si="20"/>
        <v>1. Under 3K</v>
      </c>
      <c r="AJ227" s="1" t="str">
        <f t="shared" si="21"/>
        <v>1. 0-1 yrs</v>
      </c>
      <c r="AK227" s="1" t="str">
        <f t="shared" si="22"/>
        <v>4. Very High</v>
      </c>
      <c r="AL227" s="1" t="str">
        <f t="shared" si="23"/>
        <v>3. Better</v>
      </c>
    </row>
    <row r="228" spans="1:38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f t="shared" si="24"/>
        <v>0</v>
      </c>
      <c r="AH228" t="str">
        <f t="shared" si="19"/>
        <v>36-45</v>
      </c>
      <c r="AI228" t="str">
        <f t="shared" si="20"/>
        <v>1. Under 3K</v>
      </c>
      <c r="AJ228" s="1" t="str">
        <f t="shared" si="21"/>
        <v>3. 6-10 yrs</v>
      </c>
      <c r="AK228" s="1" t="str">
        <f t="shared" si="22"/>
        <v>4. Very High</v>
      </c>
      <c r="AL228" s="1" t="str">
        <f t="shared" si="23"/>
        <v>3. Better</v>
      </c>
    </row>
    <row r="229" spans="1:38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f t="shared" si="24"/>
        <v>0</v>
      </c>
      <c r="AH229" t="str">
        <f t="shared" si="19"/>
        <v>26-35</v>
      </c>
      <c r="AI229" t="str">
        <f t="shared" si="20"/>
        <v>3. 6K-10K</v>
      </c>
      <c r="AJ229" s="1" t="str">
        <f t="shared" si="21"/>
        <v>4. 10+ yrs</v>
      </c>
      <c r="AK229" s="1" t="str">
        <f t="shared" si="22"/>
        <v>4. Very High</v>
      </c>
      <c r="AL229" s="1" t="str">
        <f t="shared" si="23"/>
        <v>3. Better</v>
      </c>
    </row>
    <row r="230" spans="1:38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f t="shared" si="24"/>
        <v>0</v>
      </c>
      <c r="AH230" t="str">
        <f t="shared" si="19"/>
        <v>26-35</v>
      </c>
      <c r="AI230" t="str">
        <f t="shared" si="20"/>
        <v>3. 6K-10K</v>
      </c>
      <c r="AJ230" s="1" t="str">
        <f t="shared" si="21"/>
        <v>3. 6-10 yrs</v>
      </c>
      <c r="AK230" s="1" t="str">
        <f t="shared" si="22"/>
        <v>3. High</v>
      </c>
      <c r="AL230" s="1" t="str">
        <f t="shared" si="23"/>
        <v>4. Best</v>
      </c>
    </row>
    <row r="231" spans="1:38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f t="shared" si="24"/>
        <v>1</v>
      </c>
      <c r="AH231" t="str">
        <f t="shared" si="19"/>
        <v>26-35</v>
      </c>
      <c r="AI231" t="str">
        <f t="shared" si="20"/>
        <v>1. Under 3K</v>
      </c>
      <c r="AJ231" s="1" t="str">
        <f t="shared" si="21"/>
        <v>2. 2-5 yrs</v>
      </c>
      <c r="AK231" s="1" t="str">
        <f t="shared" si="22"/>
        <v>4. Very High</v>
      </c>
      <c r="AL231" s="1" t="str">
        <f t="shared" si="23"/>
        <v>2. Good</v>
      </c>
    </row>
    <row r="232" spans="1:38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f t="shared" si="24"/>
        <v>0</v>
      </c>
      <c r="AH232" t="str">
        <f t="shared" si="19"/>
        <v>46-55</v>
      </c>
      <c r="AI232" t="str">
        <f t="shared" si="20"/>
        <v>2. 3K-6K</v>
      </c>
      <c r="AJ232" s="1" t="str">
        <f t="shared" si="21"/>
        <v>2. 2-5 yrs</v>
      </c>
      <c r="AK232" s="1" t="str">
        <f t="shared" si="22"/>
        <v>4. Very High</v>
      </c>
      <c r="AL232" s="1" t="str">
        <f t="shared" si="23"/>
        <v>2. Good</v>
      </c>
    </row>
    <row r="233" spans="1:38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f t="shared" si="24"/>
        <v>0</v>
      </c>
      <c r="AH233" t="str">
        <f t="shared" si="19"/>
        <v>36-45</v>
      </c>
      <c r="AI233" t="str">
        <f t="shared" si="20"/>
        <v>4. 10K+</v>
      </c>
      <c r="AJ233" s="1" t="str">
        <f t="shared" si="21"/>
        <v>4. 10+ yrs</v>
      </c>
      <c r="AK233" s="1" t="str">
        <f t="shared" si="22"/>
        <v>4. Very High</v>
      </c>
      <c r="AL233" s="1" t="str">
        <f t="shared" si="23"/>
        <v>3. Better</v>
      </c>
    </row>
    <row r="234" spans="1:38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f t="shared" si="24"/>
        <v>0</v>
      </c>
      <c r="AH234" t="str">
        <f t="shared" si="19"/>
        <v>56+</v>
      </c>
      <c r="AI234" t="str">
        <f t="shared" si="20"/>
        <v>1. Under 3K</v>
      </c>
      <c r="AJ234" s="1" t="str">
        <f t="shared" si="21"/>
        <v>2. 2-5 yrs</v>
      </c>
      <c r="AK234" s="1" t="str">
        <f t="shared" si="22"/>
        <v>3. High</v>
      </c>
      <c r="AL234" s="1" t="str">
        <f t="shared" si="23"/>
        <v>2. Good</v>
      </c>
    </row>
    <row r="235" spans="1:38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f t="shared" si="24"/>
        <v>0</v>
      </c>
      <c r="AH235" t="str">
        <f t="shared" si="19"/>
        <v>46-55</v>
      </c>
      <c r="AI235" t="str">
        <f t="shared" si="20"/>
        <v>4. 10K+</v>
      </c>
      <c r="AJ235" s="1" t="str">
        <f t="shared" si="21"/>
        <v>3. 6-10 yrs</v>
      </c>
      <c r="AK235" s="1" t="str">
        <f t="shared" si="22"/>
        <v>4. Very High</v>
      </c>
      <c r="AL235" s="1" t="str">
        <f t="shared" si="23"/>
        <v>2. Good</v>
      </c>
    </row>
    <row r="236" spans="1:38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f t="shared" si="24"/>
        <v>1</v>
      </c>
      <c r="AH236" t="str">
        <f t="shared" si="19"/>
        <v>26-35</v>
      </c>
      <c r="AI236" t="str">
        <f t="shared" si="20"/>
        <v>1. Under 3K</v>
      </c>
      <c r="AJ236" s="1" t="str">
        <f t="shared" si="21"/>
        <v>2. 2-5 yrs</v>
      </c>
      <c r="AK236" s="1" t="str">
        <f t="shared" si="22"/>
        <v>4. Very High</v>
      </c>
      <c r="AL236" s="1" t="str">
        <f t="shared" si="23"/>
        <v>1. Bad</v>
      </c>
    </row>
    <row r="237" spans="1:38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f t="shared" si="24"/>
        <v>0</v>
      </c>
      <c r="AH237" t="str">
        <f t="shared" si="19"/>
        <v>36-45</v>
      </c>
      <c r="AI237" t="str">
        <f t="shared" si="20"/>
        <v>4. 10K+</v>
      </c>
      <c r="AJ237" s="1" t="str">
        <f t="shared" si="21"/>
        <v>4. 10+ yrs</v>
      </c>
      <c r="AK237" s="1" t="str">
        <f t="shared" si="22"/>
        <v>4. Very High</v>
      </c>
      <c r="AL237" s="1" t="str">
        <f t="shared" si="23"/>
        <v>3. Better</v>
      </c>
    </row>
    <row r="238" spans="1:38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f t="shared" si="24"/>
        <v>1</v>
      </c>
      <c r="AH238" t="str">
        <f t="shared" si="19"/>
        <v>26-35</v>
      </c>
      <c r="AI238" t="str">
        <f t="shared" si="20"/>
        <v>1. Under 3K</v>
      </c>
      <c r="AJ238" s="1" t="str">
        <f t="shared" si="21"/>
        <v>3. 6-10 yrs</v>
      </c>
      <c r="AK238" s="1" t="str">
        <f t="shared" si="22"/>
        <v>1. Low</v>
      </c>
      <c r="AL238" s="1" t="str">
        <f t="shared" si="23"/>
        <v>4. Best</v>
      </c>
    </row>
    <row r="239" spans="1:38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f t="shared" si="24"/>
        <v>0</v>
      </c>
      <c r="AH239" t="str">
        <f t="shared" si="19"/>
        <v>46-55</v>
      </c>
      <c r="AI239" t="str">
        <f t="shared" si="20"/>
        <v>4. 10K+</v>
      </c>
      <c r="AJ239" s="1" t="str">
        <f t="shared" si="21"/>
        <v>4. 10+ yrs</v>
      </c>
      <c r="AK239" s="1" t="str">
        <f t="shared" si="22"/>
        <v>3. High</v>
      </c>
      <c r="AL239" s="1" t="str">
        <f t="shared" si="23"/>
        <v>4. Best</v>
      </c>
    </row>
    <row r="240" spans="1:38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f t="shared" si="24"/>
        <v>0</v>
      </c>
      <c r="AH240" t="str">
        <f t="shared" si="19"/>
        <v>26-35</v>
      </c>
      <c r="AI240" t="str">
        <f t="shared" si="20"/>
        <v>2. 3K-6K</v>
      </c>
      <c r="AJ240" s="1" t="str">
        <f t="shared" si="21"/>
        <v>2. 2-5 yrs</v>
      </c>
      <c r="AK240" s="1" t="str">
        <f t="shared" si="22"/>
        <v>2. Medium</v>
      </c>
      <c r="AL240" s="1" t="str">
        <f t="shared" si="23"/>
        <v>3. Better</v>
      </c>
    </row>
    <row r="241" spans="1:38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f t="shared" si="24"/>
        <v>1</v>
      </c>
      <c r="AH241" t="str">
        <f t="shared" si="19"/>
        <v>26-35</v>
      </c>
      <c r="AI241" t="str">
        <f t="shared" si="20"/>
        <v>2. 3K-6K</v>
      </c>
      <c r="AJ241" s="1" t="str">
        <f t="shared" si="21"/>
        <v>2. 2-5 yrs</v>
      </c>
      <c r="AK241" s="1" t="str">
        <f t="shared" si="22"/>
        <v>3. High</v>
      </c>
      <c r="AL241" s="1" t="str">
        <f t="shared" si="23"/>
        <v>1. Bad</v>
      </c>
    </row>
    <row r="242" spans="1:38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f t="shared" si="24"/>
        <v>0</v>
      </c>
      <c r="AH242" t="str">
        <f t="shared" si="19"/>
        <v>36-45</v>
      </c>
      <c r="AI242" t="str">
        <f t="shared" si="20"/>
        <v>1. Under 3K</v>
      </c>
      <c r="AJ242" s="1" t="str">
        <f t="shared" si="21"/>
        <v>2. 2-5 yrs</v>
      </c>
      <c r="AK242" s="1" t="str">
        <f t="shared" si="22"/>
        <v>3. High</v>
      </c>
      <c r="AL242" s="1" t="str">
        <f t="shared" si="23"/>
        <v>3. Better</v>
      </c>
    </row>
    <row r="243" spans="1:38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f t="shared" si="24"/>
        <v>0</v>
      </c>
      <c r="AH243" t="str">
        <f t="shared" si="19"/>
        <v>26-35</v>
      </c>
      <c r="AI243" t="str">
        <f t="shared" si="20"/>
        <v>2. 3K-6K</v>
      </c>
      <c r="AJ243" s="1" t="str">
        <f t="shared" si="21"/>
        <v>2. 2-5 yrs</v>
      </c>
      <c r="AK243" s="1" t="str">
        <f t="shared" si="22"/>
        <v>4. Very High</v>
      </c>
      <c r="AL243" s="1" t="str">
        <f t="shared" si="23"/>
        <v>3. Better</v>
      </c>
    </row>
    <row r="244" spans="1:38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f t="shared" si="24"/>
        <v>0</v>
      </c>
      <c r="AH244" t="str">
        <f t="shared" si="19"/>
        <v>36-45</v>
      </c>
      <c r="AI244" t="str">
        <f t="shared" si="20"/>
        <v>2. 3K-6K</v>
      </c>
      <c r="AJ244" s="1" t="str">
        <f t="shared" si="21"/>
        <v>1. 0-1 yrs</v>
      </c>
      <c r="AK244" s="1" t="str">
        <f t="shared" si="22"/>
        <v>1. Low</v>
      </c>
      <c r="AL244" s="1" t="str">
        <f t="shared" si="23"/>
        <v>2. Good</v>
      </c>
    </row>
    <row r="245" spans="1:38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f t="shared" si="24"/>
        <v>0</v>
      </c>
      <c r="AH245" t="str">
        <f t="shared" si="19"/>
        <v>36-45</v>
      </c>
      <c r="AI245" t="str">
        <f t="shared" si="20"/>
        <v>2. 3K-6K</v>
      </c>
      <c r="AJ245" s="1" t="str">
        <f t="shared" si="21"/>
        <v>3. 6-10 yrs</v>
      </c>
      <c r="AK245" s="1" t="str">
        <f t="shared" si="22"/>
        <v>4. Very High</v>
      </c>
      <c r="AL245" s="1" t="str">
        <f t="shared" si="23"/>
        <v>3. Better</v>
      </c>
    </row>
    <row r="246" spans="1:38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f t="shared" si="24"/>
        <v>0</v>
      </c>
      <c r="AH246" t="str">
        <f t="shared" si="19"/>
        <v>36-45</v>
      </c>
      <c r="AI246" t="str">
        <f t="shared" si="20"/>
        <v>4. 10K+</v>
      </c>
      <c r="AJ246" s="1" t="str">
        <f t="shared" si="21"/>
        <v>4. 10+ yrs</v>
      </c>
      <c r="AK246" s="1" t="str">
        <f t="shared" si="22"/>
        <v>4. Very High</v>
      </c>
      <c r="AL246" s="1" t="str">
        <f t="shared" si="23"/>
        <v>3. Better</v>
      </c>
    </row>
    <row r="247" spans="1:38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f t="shared" si="24"/>
        <v>0</v>
      </c>
      <c r="AH247" t="str">
        <f t="shared" si="19"/>
        <v>26-35</v>
      </c>
      <c r="AI247" t="str">
        <f t="shared" si="20"/>
        <v>4. 10K+</v>
      </c>
      <c r="AJ247" s="1" t="str">
        <f t="shared" si="21"/>
        <v>2. 2-5 yrs</v>
      </c>
      <c r="AK247" s="1" t="str">
        <f t="shared" si="22"/>
        <v>3. High</v>
      </c>
      <c r="AL247" s="1" t="str">
        <f t="shared" si="23"/>
        <v>3. Better</v>
      </c>
    </row>
    <row r="248" spans="1:38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f t="shared" si="24"/>
        <v>0</v>
      </c>
      <c r="AH248" t="str">
        <f t="shared" si="19"/>
        <v>26-35</v>
      </c>
      <c r="AI248" t="str">
        <f t="shared" si="20"/>
        <v>1. Under 3K</v>
      </c>
      <c r="AJ248" s="1" t="str">
        <f t="shared" si="21"/>
        <v>2. 2-5 yrs</v>
      </c>
      <c r="AK248" s="1" t="str">
        <f t="shared" si="22"/>
        <v>4. Very High</v>
      </c>
      <c r="AL248" s="1" t="str">
        <f t="shared" si="23"/>
        <v>2. Good</v>
      </c>
    </row>
    <row r="249" spans="1:38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f t="shared" si="24"/>
        <v>0</v>
      </c>
      <c r="AH249" t="str">
        <f t="shared" si="19"/>
        <v>26-35</v>
      </c>
      <c r="AI249" t="str">
        <f t="shared" si="20"/>
        <v>2. 3K-6K</v>
      </c>
      <c r="AJ249" s="1" t="str">
        <f t="shared" si="21"/>
        <v>4. 10+ yrs</v>
      </c>
      <c r="AK249" s="1" t="str">
        <f t="shared" si="22"/>
        <v>1. Low</v>
      </c>
      <c r="AL249" s="1" t="str">
        <f t="shared" si="23"/>
        <v>3. Better</v>
      </c>
    </row>
    <row r="250" spans="1:38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f t="shared" si="24"/>
        <v>0</v>
      </c>
      <c r="AH250" t="str">
        <f t="shared" si="19"/>
        <v>36-45</v>
      </c>
      <c r="AI250" t="str">
        <f t="shared" si="20"/>
        <v>2. 3K-6K</v>
      </c>
      <c r="AJ250" s="1" t="str">
        <f t="shared" si="21"/>
        <v>2. 2-5 yrs</v>
      </c>
      <c r="AK250" s="1" t="str">
        <f t="shared" si="22"/>
        <v>1. Low</v>
      </c>
      <c r="AL250" s="1" t="str">
        <f t="shared" si="23"/>
        <v>2. Good</v>
      </c>
    </row>
    <row r="251" spans="1:38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f t="shared" si="24"/>
        <v>0</v>
      </c>
      <c r="AH251" t="str">
        <f t="shared" si="19"/>
        <v>36-45</v>
      </c>
      <c r="AI251" t="str">
        <f t="shared" si="20"/>
        <v>3. 6K-10K</v>
      </c>
      <c r="AJ251" s="1" t="str">
        <f t="shared" si="21"/>
        <v>2. 2-5 yrs</v>
      </c>
      <c r="AK251" s="1" t="str">
        <f t="shared" si="22"/>
        <v>3. High</v>
      </c>
      <c r="AL251" s="1" t="str">
        <f t="shared" si="23"/>
        <v>3. Better</v>
      </c>
    </row>
    <row r="252" spans="1:38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f t="shared" si="24"/>
        <v>1</v>
      </c>
      <c r="AH252" t="str">
        <f t="shared" si="19"/>
        <v>36-45</v>
      </c>
      <c r="AI252" t="str">
        <f t="shared" si="20"/>
        <v>4. 10K+</v>
      </c>
      <c r="AJ252" s="1" t="str">
        <f t="shared" si="21"/>
        <v>1. 0-1 yrs</v>
      </c>
      <c r="AK252" s="1" t="str">
        <f t="shared" si="22"/>
        <v>3. High</v>
      </c>
      <c r="AL252" s="1" t="str">
        <f t="shared" si="23"/>
        <v>3. Better</v>
      </c>
    </row>
    <row r="253" spans="1:38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f t="shared" si="24"/>
        <v>0</v>
      </c>
      <c r="AH253" t="str">
        <f t="shared" si="19"/>
        <v>36-45</v>
      </c>
      <c r="AI253" t="str">
        <f t="shared" si="20"/>
        <v>4. 10K+</v>
      </c>
      <c r="AJ253" s="1" t="str">
        <f t="shared" si="21"/>
        <v>4. 10+ yrs</v>
      </c>
      <c r="AK253" s="1" t="str">
        <f t="shared" si="22"/>
        <v>3. High</v>
      </c>
      <c r="AL253" s="1" t="str">
        <f t="shared" si="23"/>
        <v>3. Better</v>
      </c>
    </row>
    <row r="254" spans="1:38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f t="shared" si="24"/>
        <v>0</v>
      </c>
      <c r="AH254" t="str">
        <f t="shared" si="19"/>
        <v>26-35</v>
      </c>
      <c r="AI254" t="str">
        <f t="shared" si="20"/>
        <v>1. Under 3K</v>
      </c>
      <c r="AJ254" s="1" t="str">
        <f t="shared" si="21"/>
        <v>3. 6-10 yrs</v>
      </c>
      <c r="AK254" s="1" t="str">
        <f t="shared" si="22"/>
        <v>4. Very High</v>
      </c>
      <c r="AL254" s="1" t="str">
        <f t="shared" si="23"/>
        <v>3. Better</v>
      </c>
    </row>
    <row r="255" spans="1:38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f t="shared" si="24"/>
        <v>0</v>
      </c>
      <c r="AH255" t="str">
        <f t="shared" si="19"/>
        <v>36-45</v>
      </c>
      <c r="AI255" t="str">
        <f t="shared" si="20"/>
        <v>3. 6K-10K</v>
      </c>
      <c r="AJ255" s="1" t="str">
        <f t="shared" si="21"/>
        <v>2. 2-5 yrs</v>
      </c>
      <c r="AK255" s="1" t="str">
        <f t="shared" si="22"/>
        <v>1. Low</v>
      </c>
      <c r="AL255" s="1" t="str">
        <f t="shared" si="23"/>
        <v>3. Better</v>
      </c>
    </row>
    <row r="256" spans="1:38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f t="shared" si="24"/>
        <v>0</v>
      </c>
      <c r="AH256" t="str">
        <f t="shared" si="19"/>
        <v>26-35</v>
      </c>
      <c r="AI256" t="str">
        <f t="shared" si="20"/>
        <v>3. 6K-10K</v>
      </c>
      <c r="AJ256" s="1" t="str">
        <f t="shared" si="21"/>
        <v>2. 2-5 yrs</v>
      </c>
      <c r="AK256" s="1" t="str">
        <f t="shared" si="22"/>
        <v>4. Very High</v>
      </c>
      <c r="AL256" s="1" t="str">
        <f t="shared" si="23"/>
        <v>3. Better</v>
      </c>
    </row>
    <row r="257" spans="1:38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f t="shared" si="24"/>
        <v>0</v>
      </c>
      <c r="AH257" t="str">
        <f t="shared" si="19"/>
        <v>18-25</v>
      </c>
      <c r="AI257" t="str">
        <f t="shared" si="20"/>
        <v>2. 3K-6K</v>
      </c>
      <c r="AJ257" s="1" t="str">
        <f t="shared" si="21"/>
        <v>2. 2-5 yrs</v>
      </c>
      <c r="AK257" s="1" t="str">
        <f t="shared" si="22"/>
        <v>3. High</v>
      </c>
      <c r="AL257" s="1" t="str">
        <f t="shared" si="23"/>
        <v>3. Better</v>
      </c>
    </row>
    <row r="258" spans="1:38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f t="shared" ref="AG258:AG321" si="25">IF(B258="Yes",1,0)</f>
        <v>0</v>
      </c>
      <c r="AH258" t="str">
        <f t="shared" ref="AH258:AH321" si="26">IF(A258&lt;26,"18-25",IF(A258&lt;36,"26-35",IF(A258&lt;46,"36-45",IF(A258&lt;56,"46-55","56+"))))</f>
        <v>36-45</v>
      </c>
      <c r="AI258" t="str">
        <f t="shared" ref="AI258:AI321" si="27">IF(R258&lt;3000,"1. Under 3K",IF(R258&lt;6000,"2. 3K-6K",IF(R258&lt;10000,"3. 6K-10K","4. 10K+")))</f>
        <v>1. Under 3K</v>
      </c>
      <c r="AJ258" s="1" t="str">
        <f t="shared" ref="AJ258:AJ321" si="28">IF(AC258&lt;2,"1. 0-1 yrs",IF(AC258&lt;6,"2. 2-5 yrs",IF(AC258&lt;11,"3. 6-10 yrs","4. 10+ yrs")))</f>
        <v>3. 6-10 yrs</v>
      </c>
      <c r="AK258" s="1" t="str">
        <f t="shared" ref="AK258:AK321" si="29">CHOOSE(P258,"1. Low","2. Medium","3. High","4. Very High")</f>
        <v>1. Low</v>
      </c>
      <c r="AL258" s="1" t="str">
        <f t="shared" ref="AL258:AL321" si="30">CHOOSE(AB258,"1. Bad","2. Good","3. Better","4. Best")</f>
        <v>3. Better</v>
      </c>
    </row>
    <row r="259" spans="1:38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f t="shared" si="25"/>
        <v>0</v>
      </c>
      <c r="AH259" t="str">
        <f t="shared" si="26"/>
        <v>36-45</v>
      </c>
      <c r="AI259" t="str">
        <f t="shared" si="27"/>
        <v>4. 10K+</v>
      </c>
      <c r="AJ259" s="1" t="str">
        <f t="shared" si="28"/>
        <v>4. 10+ yrs</v>
      </c>
      <c r="AK259" s="1" t="str">
        <f t="shared" si="29"/>
        <v>3. High</v>
      </c>
      <c r="AL259" s="1" t="str">
        <f t="shared" si="30"/>
        <v>3. Better</v>
      </c>
    </row>
    <row r="260" spans="1:38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f t="shared" si="25"/>
        <v>0</v>
      </c>
      <c r="AH260" t="str">
        <f t="shared" si="26"/>
        <v>46-55</v>
      </c>
      <c r="AI260" t="str">
        <f t="shared" si="27"/>
        <v>1. Under 3K</v>
      </c>
      <c r="AJ260" s="1" t="str">
        <f t="shared" si="28"/>
        <v>1. 0-1 yrs</v>
      </c>
      <c r="AK260" s="1" t="str">
        <f t="shared" si="29"/>
        <v>4. Very High</v>
      </c>
      <c r="AL260" s="1" t="str">
        <f t="shared" si="30"/>
        <v>2. Good</v>
      </c>
    </row>
    <row r="261" spans="1:38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f t="shared" si="25"/>
        <v>1</v>
      </c>
      <c r="AH261" t="str">
        <f t="shared" si="26"/>
        <v>26-35</v>
      </c>
      <c r="AI261" t="str">
        <f t="shared" si="27"/>
        <v>2. 3K-6K</v>
      </c>
      <c r="AJ261" s="1" t="str">
        <f t="shared" si="28"/>
        <v>2. 2-5 yrs</v>
      </c>
      <c r="AK261" s="1" t="str">
        <f t="shared" si="29"/>
        <v>2. Medium</v>
      </c>
      <c r="AL261" s="1" t="str">
        <f t="shared" si="30"/>
        <v>4. Best</v>
      </c>
    </row>
    <row r="262" spans="1:38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f t="shared" si="25"/>
        <v>0</v>
      </c>
      <c r="AH262" t="str">
        <f t="shared" si="26"/>
        <v>26-35</v>
      </c>
      <c r="AI262" t="str">
        <f t="shared" si="27"/>
        <v>1. Under 3K</v>
      </c>
      <c r="AJ262" s="1" t="str">
        <f t="shared" si="28"/>
        <v>2. 2-5 yrs</v>
      </c>
      <c r="AK262" s="1" t="str">
        <f t="shared" si="29"/>
        <v>2. Medium</v>
      </c>
      <c r="AL262" s="1" t="str">
        <f t="shared" si="30"/>
        <v>1. Bad</v>
      </c>
    </row>
    <row r="263" spans="1:38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f t="shared" si="25"/>
        <v>0</v>
      </c>
      <c r="AH263" t="str">
        <f t="shared" si="26"/>
        <v>36-45</v>
      </c>
      <c r="AI263" t="str">
        <f t="shared" si="27"/>
        <v>2. 3K-6K</v>
      </c>
      <c r="AJ263" s="1" t="str">
        <f t="shared" si="28"/>
        <v>3. 6-10 yrs</v>
      </c>
      <c r="AK263" s="1" t="str">
        <f t="shared" si="29"/>
        <v>4. Very High</v>
      </c>
      <c r="AL263" s="1" t="str">
        <f t="shared" si="30"/>
        <v>3. Better</v>
      </c>
    </row>
    <row r="264" spans="1:38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f t="shared" si="25"/>
        <v>0</v>
      </c>
      <c r="AH264" t="str">
        <f t="shared" si="26"/>
        <v>26-35</v>
      </c>
      <c r="AI264" t="str">
        <f t="shared" si="27"/>
        <v>1. Under 3K</v>
      </c>
      <c r="AJ264" s="1" t="str">
        <f t="shared" si="28"/>
        <v>3. 6-10 yrs</v>
      </c>
      <c r="AK264" s="1" t="str">
        <f t="shared" si="29"/>
        <v>1. Low</v>
      </c>
      <c r="AL264" s="1" t="str">
        <f t="shared" si="30"/>
        <v>3. Better</v>
      </c>
    </row>
    <row r="265" spans="1:38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f t="shared" si="25"/>
        <v>0</v>
      </c>
      <c r="AH265" t="str">
        <f t="shared" si="26"/>
        <v>46-55</v>
      </c>
      <c r="AI265" t="str">
        <f t="shared" si="27"/>
        <v>4. 10K+</v>
      </c>
      <c r="AJ265" s="1" t="str">
        <f t="shared" si="28"/>
        <v>3. 6-10 yrs</v>
      </c>
      <c r="AK265" s="1" t="str">
        <f t="shared" si="29"/>
        <v>2. Medium</v>
      </c>
      <c r="AL265" s="1" t="str">
        <f t="shared" si="30"/>
        <v>2. Good</v>
      </c>
    </row>
    <row r="266" spans="1:38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f t="shared" si="25"/>
        <v>1</v>
      </c>
      <c r="AH266" t="str">
        <f t="shared" si="26"/>
        <v>26-35</v>
      </c>
      <c r="AI266" t="str">
        <f t="shared" si="27"/>
        <v>2. 3K-6K</v>
      </c>
      <c r="AJ266" s="1" t="str">
        <f t="shared" si="28"/>
        <v>1. 0-1 yrs</v>
      </c>
      <c r="AK266" s="1" t="str">
        <f t="shared" si="29"/>
        <v>3. High</v>
      </c>
      <c r="AL266" s="1" t="str">
        <f t="shared" si="30"/>
        <v>1. Bad</v>
      </c>
    </row>
    <row r="267" spans="1:38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f t="shared" si="25"/>
        <v>0</v>
      </c>
      <c r="AH267" t="str">
        <f t="shared" si="26"/>
        <v>26-35</v>
      </c>
      <c r="AI267" t="str">
        <f t="shared" si="27"/>
        <v>3. 6K-10K</v>
      </c>
      <c r="AJ267" s="1" t="str">
        <f t="shared" si="28"/>
        <v>1. 0-1 yrs</v>
      </c>
      <c r="AK267" s="1" t="str">
        <f t="shared" si="29"/>
        <v>2. Medium</v>
      </c>
      <c r="AL267" s="1" t="str">
        <f t="shared" si="30"/>
        <v>3. Better</v>
      </c>
    </row>
    <row r="268" spans="1:38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f t="shared" si="25"/>
        <v>0</v>
      </c>
      <c r="AH268" t="str">
        <f t="shared" si="26"/>
        <v>26-35</v>
      </c>
      <c r="AI268" t="str">
        <f t="shared" si="27"/>
        <v>2. 3K-6K</v>
      </c>
      <c r="AJ268" s="1" t="str">
        <f t="shared" si="28"/>
        <v>3. 6-10 yrs</v>
      </c>
      <c r="AK268" s="1" t="str">
        <f t="shared" si="29"/>
        <v>4. Very High</v>
      </c>
      <c r="AL268" s="1" t="str">
        <f t="shared" si="30"/>
        <v>3. Better</v>
      </c>
    </row>
    <row r="269" spans="1:38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f t="shared" si="25"/>
        <v>0</v>
      </c>
      <c r="AH269" t="str">
        <f t="shared" si="26"/>
        <v>18-25</v>
      </c>
      <c r="AI269" t="str">
        <f t="shared" si="27"/>
        <v>2. 3K-6K</v>
      </c>
      <c r="AJ269" s="1" t="str">
        <f t="shared" si="28"/>
        <v>3. 6-10 yrs</v>
      </c>
      <c r="AK269" s="1" t="str">
        <f t="shared" si="29"/>
        <v>1. Low</v>
      </c>
      <c r="AL269" s="1" t="str">
        <f t="shared" si="30"/>
        <v>3. Better</v>
      </c>
    </row>
    <row r="270" spans="1:38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f t="shared" si="25"/>
        <v>0</v>
      </c>
      <c r="AH270" t="str">
        <f t="shared" si="26"/>
        <v>36-45</v>
      </c>
      <c r="AI270" t="str">
        <f t="shared" si="27"/>
        <v>4. 10K+</v>
      </c>
      <c r="AJ270" s="1" t="str">
        <f t="shared" si="28"/>
        <v>4. 10+ yrs</v>
      </c>
      <c r="AK270" s="1" t="str">
        <f t="shared" si="29"/>
        <v>4. Very High</v>
      </c>
      <c r="AL270" s="1" t="str">
        <f t="shared" si="30"/>
        <v>3. Better</v>
      </c>
    </row>
    <row r="271" spans="1:38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f t="shared" si="25"/>
        <v>0</v>
      </c>
      <c r="AH271" t="str">
        <f t="shared" si="26"/>
        <v>36-45</v>
      </c>
      <c r="AI271" t="str">
        <f t="shared" si="27"/>
        <v>2. 3K-6K</v>
      </c>
      <c r="AJ271" s="1" t="str">
        <f t="shared" si="28"/>
        <v>4. 10+ yrs</v>
      </c>
      <c r="AK271" s="1" t="str">
        <f t="shared" si="29"/>
        <v>4. Very High</v>
      </c>
      <c r="AL271" s="1" t="str">
        <f t="shared" si="30"/>
        <v>3. Better</v>
      </c>
    </row>
    <row r="272" spans="1:38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f t="shared" si="25"/>
        <v>0</v>
      </c>
      <c r="AH272" t="str">
        <f t="shared" si="26"/>
        <v>46-55</v>
      </c>
      <c r="AI272" t="str">
        <f t="shared" si="27"/>
        <v>4. 10K+</v>
      </c>
      <c r="AJ272" s="1" t="str">
        <f t="shared" si="28"/>
        <v>4. 10+ yrs</v>
      </c>
      <c r="AK272" s="1" t="str">
        <f t="shared" si="29"/>
        <v>1. Low</v>
      </c>
      <c r="AL272" s="1" t="str">
        <f t="shared" si="30"/>
        <v>3. Better</v>
      </c>
    </row>
    <row r="273" spans="1:38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f t="shared" si="25"/>
        <v>1</v>
      </c>
      <c r="AH273" t="str">
        <f t="shared" si="26"/>
        <v>46-55</v>
      </c>
      <c r="AI273" t="str">
        <f t="shared" si="27"/>
        <v>4. 10K+</v>
      </c>
      <c r="AJ273" s="1" t="str">
        <f t="shared" si="28"/>
        <v>3. 6-10 yrs</v>
      </c>
      <c r="AK273" s="1" t="str">
        <f t="shared" si="29"/>
        <v>2. Medium</v>
      </c>
      <c r="AL273" s="1" t="str">
        <f t="shared" si="30"/>
        <v>2. Good</v>
      </c>
    </row>
    <row r="274" spans="1:38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f t="shared" si="25"/>
        <v>0</v>
      </c>
      <c r="AH274" t="str">
        <f t="shared" si="26"/>
        <v>26-35</v>
      </c>
      <c r="AI274" t="str">
        <f t="shared" si="27"/>
        <v>1. Under 3K</v>
      </c>
      <c r="AJ274" s="1" t="str">
        <f t="shared" si="28"/>
        <v>2. 2-5 yrs</v>
      </c>
      <c r="AK274" s="1" t="str">
        <f t="shared" si="29"/>
        <v>4. Very High</v>
      </c>
      <c r="AL274" s="1" t="str">
        <f t="shared" si="30"/>
        <v>2. Good</v>
      </c>
    </row>
    <row r="275" spans="1:38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f t="shared" si="25"/>
        <v>0</v>
      </c>
      <c r="AH275" t="str">
        <f t="shared" si="26"/>
        <v>36-45</v>
      </c>
      <c r="AI275" t="str">
        <f t="shared" si="27"/>
        <v>3. 6K-10K</v>
      </c>
      <c r="AJ275" s="1" t="str">
        <f t="shared" si="28"/>
        <v>2. 2-5 yrs</v>
      </c>
      <c r="AK275" s="1" t="str">
        <f t="shared" si="29"/>
        <v>4. Very High</v>
      </c>
      <c r="AL275" s="1" t="str">
        <f t="shared" si="30"/>
        <v>4. Best</v>
      </c>
    </row>
    <row r="276" spans="1:38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f t="shared" si="25"/>
        <v>0</v>
      </c>
      <c r="AH276" t="str">
        <f t="shared" si="26"/>
        <v>18-25</v>
      </c>
      <c r="AI276" t="str">
        <f t="shared" si="27"/>
        <v>2. 3K-6K</v>
      </c>
      <c r="AJ276" s="1" t="str">
        <f t="shared" si="28"/>
        <v>2. 2-5 yrs</v>
      </c>
      <c r="AK276" s="1" t="str">
        <f t="shared" si="29"/>
        <v>3. High</v>
      </c>
      <c r="AL276" s="1" t="str">
        <f t="shared" si="30"/>
        <v>4. Best</v>
      </c>
    </row>
    <row r="277" spans="1:38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f t="shared" si="25"/>
        <v>0</v>
      </c>
      <c r="AH277" t="str">
        <f t="shared" si="26"/>
        <v>36-45</v>
      </c>
      <c r="AI277" t="str">
        <f t="shared" si="27"/>
        <v>4. 10K+</v>
      </c>
      <c r="AJ277" s="1" t="str">
        <f t="shared" si="28"/>
        <v>2. 2-5 yrs</v>
      </c>
      <c r="AK277" s="1" t="str">
        <f t="shared" si="29"/>
        <v>4. Very High</v>
      </c>
      <c r="AL277" s="1" t="str">
        <f t="shared" si="30"/>
        <v>3. Better</v>
      </c>
    </row>
    <row r="278" spans="1:38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f t="shared" si="25"/>
        <v>0</v>
      </c>
      <c r="AH278" t="str">
        <f t="shared" si="26"/>
        <v>26-35</v>
      </c>
      <c r="AI278" t="str">
        <f t="shared" si="27"/>
        <v>4. 10K+</v>
      </c>
      <c r="AJ278" s="1" t="str">
        <f t="shared" si="28"/>
        <v>3. 6-10 yrs</v>
      </c>
      <c r="AK278" s="1" t="str">
        <f t="shared" si="29"/>
        <v>2. Medium</v>
      </c>
      <c r="AL278" s="1" t="str">
        <f t="shared" si="30"/>
        <v>2. Good</v>
      </c>
    </row>
    <row r="279" spans="1:38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f t="shared" si="25"/>
        <v>0</v>
      </c>
      <c r="AH279" t="str">
        <f t="shared" si="26"/>
        <v>36-45</v>
      </c>
      <c r="AI279" t="str">
        <f t="shared" si="27"/>
        <v>2. 3K-6K</v>
      </c>
      <c r="AJ279" s="1" t="str">
        <f t="shared" si="28"/>
        <v>3. 6-10 yrs</v>
      </c>
      <c r="AK279" s="1" t="str">
        <f t="shared" si="29"/>
        <v>1. Low</v>
      </c>
      <c r="AL279" s="1" t="str">
        <f t="shared" si="30"/>
        <v>3. Better</v>
      </c>
    </row>
    <row r="280" spans="1:38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f t="shared" si="25"/>
        <v>0</v>
      </c>
      <c r="AH280" t="str">
        <f t="shared" si="26"/>
        <v>26-35</v>
      </c>
      <c r="AI280" t="str">
        <f t="shared" si="27"/>
        <v>3. 6K-10K</v>
      </c>
      <c r="AJ280" s="1" t="str">
        <f t="shared" si="28"/>
        <v>3. 6-10 yrs</v>
      </c>
      <c r="AK280" s="1" t="str">
        <f t="shared" si="29"/>
        <v>2. Medium</v>
      </c>
      <c r="AL280" s="1" t="str">
        <f t="shared" si="30"/>
        <v>1. Bad</v>
      </c>
    </row>
    <row r="281" spans="1:38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f t="shared" si="25"/>
        <v>0</v>
      </c>
      <c r="AH281" t="str">
        <f t="shared" si="26"/>
        <v>46-55</v>
      </c>
      <c r="AI281" t="str">
        <f t="shared" si="27"/>
        <v>4. 10K+</v>
      </c>
      <c r="AJ281" s="1" t="str">
        <f t="shared" si="28"/>
        <v>3. 6-10 yrs</v>
      </c>
      <c r="AK281" s="1" t="str">
        <f t="shared" si="29"/>
        <v>2. Medium</v>
      </c>
      <c r="AL281" s="1" t="str">
        <f t="shared" si="30"/>
        <v>2. Good</v>
      </c>
    </row>
    <row r="282" spans="1:38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f t="shared" si="25"/>
        <v>0</v>
      </c>
      <c r="AH282" t="str">
        <f t="shared" si="26"/>
        <v>46-55</v>
      </c>
      <c r="AI282" t="str">
        <f t="shared" si="27"/>
        <v>4. 10K+</v>
      </c>
      <c r="AJ282" s="1" t="str">
        <f t="shared" si="28"/>
        <v>2. 2-5 yrs</v>
      </c>
      <c r="AK282" s="1" t="str">
        <f t="shared" si="29"/>
        <v>3. High</v>
      </c>
      <c r="AL282" s="1" t="str">
        <f t="shared" si="30"/>
        <v>2. Good</v>
      </c>
    </row>
    <row r="283" spans="1:38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f t="shared" si="25"/>
        <v>0</v>
      </c>
      <c r="AH283" t="str">
        <f t="shared" si="26"/>
        <v>36-45</v>
      </c>
      <c r="AI283" t="str">
        <f t="shared" si="27"/>
        <v>2. 3K-6K</v>
      </c>
      <c r="AJ283" s="1" t="str">
        <f t="shared" si="28"/>
        <v>4. 10+ yrs</v>
      </c>
      <c r="AK283" s="1" t="str">
        <f t="shared" si="29"/>
        <v>3. High</v>
      </c>
      <c r="AL283" s="1" t="str">
        <f t="shared" si="30"/>
        <v>3. Better</v>
      </c>
    </row>
    <row r="284" spans="1:38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f t="shared" si="25"/>
        <v>0</v>
      </c>
      <c r="AH284" t="str">
        <f t="shared" si="26"/>
        <v>26-35</v>
      </c>
      <c r="AI284" t="str">
        <f t="shared" si="27"/>
        <v>2. 3K-6K</v>
      </c>
      <c r="AJ284" s="1" t="str">
        <f t="shared" si="28"/>
        <v>3. 6-10 yrs</v>
      </c>
      <c r="AK284" s="1" t="str">
        <f t="shared" si="29"/>
        <v>4. Very High</v>
      </c>
      <c r="AL284" s="1" t="str">
        <f t="shared" si="30"/>
        <v>2. Good</v>
      </c>
    </row>
    <row r="285" spans="1:38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f t="shared" si="25"/>
        <v>0</v>
      </c>
      <c r="AH285" t="str">
        <f t="shared" si="26"/>
        <v>46-55</v>
      </c>
      <c r="AI285" t="str">
        <f t="shared" si="27"/>
        <v>2. 3K-6K</v>
      </c>
      <c r="AJ285" s="1" t="str">
        <f t="shared" si="28"/>
        <v>3. 6-10 yrs</v>
      </c>
      <c r="AK285" s="1" t="str">
        <f t="shared" si="29"/>
        <v>4. Very High</v>
      </c>
      <c r="AL285" s="1" t="str">
        <f t="shared" si="30"/>
        <v>3. Better</v>
      </c>
    </row>
    <row r="286" spans="1:38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f t="shared" si="25"/>
        <v>0</v>
      </c>
      <c r="AH286" t="str">
        <f t="shared" si="26"/>
        <v>26-35</v>
      </c>
      <c r="AI286" t="str">
        <f t="shared" si="27"/>
        <v>2. 3K-6K</v>
      </c>
      <c r="AJ286" s="1" t="str">
        <f t="shared" si="28"/>
        <v>2. 2-5 yrs</v>
      </c>
      <c r="AK286" s="1" t="str">
        <f t="shared" si="29"/>
        <v>1. Low</v>
      </c>
      <c r="AL286" s="1" t="str">
        <f t="shared" si="30"/>
        <v>3. Better</v>
      </c>
    </row>
    <row r="287" spans="1:38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f t="shared" si="25"/>
        <v>0</v>
      </c>
      <c r="AH287" t="str">
        <f t="shared" si="26"/>
        <v>36-45</v>
      </c>
      <c r="AI287" t="str">
        <f t="shared" si="27"/>
        <v>1. Under 3K</v>
      </c>
      <c r="AJ287" s="1" t="str">
        <f t="shared" si="28"/>
        <v>4. 10+ yrs</v>
      </c>
      <c r="AK287" s="1" t="str">
        <f t="shared" si="29"/>
        <v>4. Very High</v>
      </c>
      <c r="AL287" s="1" t="str">
        <f t="shared" si="30"/>
        <v>3. Better</v>
      </c>
    </row>
    <row r="288" spans="1:38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f t="shared" si="25"/>
        <v>1</v>
      </c>
      <c r="AH288" t="str">
        <f t="shared" si="26"/>
        <v>36-45</v>
      </c>
      <c r="AI288" t="str">
        <f t="shared" si="27"/>
        <v>2. 3K-6K</v>
      </c>
      <c r="AJ288" s="1" t="str">
        <f t="shared" si="28"/>
        <v>1. 0-1 yrs</v>
      </c>
      <c r="AK288" s="1" t="str">
        <f t="shared" si="29"/>
        <v>3. High</v>
      </c>
      <c r="AL288" s="1" t="str">
        <f t="shared" si="30"/>
        <v>1. Bad</v>
      </c>
    </row>
    <row r="289" spans="1:38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f t="shared" si="25"/>
        <v>0</v>
      </c>
      <c r="AH289" t="str">
        <f t="shared" si="26"/>
        <v>36-45</v>
      </c>
      <c r="AI289" t="str">
        <f t="shared" si="27"/>
        <v>2. 3K-6K</v>
      </c>
      <c r="AJ289" s="1" t="str">
        <f t="shared" si="28"/>
        <v>2. 2-5 yrs</v>
      </c>
      <c r="AK289" s="1" t="str">
        <f t="shared" si="29"/>
        <v>4. Very High</v>
      </c>
      <c r="AL289" s="1" t="str">
        <f t="shared" si="30"/>
        <v>3. Better</v>
      </c>
    </row>
    <row r="290" spans="1:38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f t="shared" si="25"/>
        <v>1</v>
      </c>
      <c r="AH290" t="str">
        <f t="shared" si="26"/>
        <v>26-35</v>
      </c>
      <c r="AI290" t="str">
        <f t="shared" si="27"/>
        <v>1. Under 3K</v>
      </c>
      <c r="AJ290" s="1" t="str">
        <f t="shared" si="28"/>
        <v>2. 2-5 yrs</v>
      </c>
      <c r="AK290" s="1" t="str">
        <f t="shared" si="29"/>
        <v>2. Medium</v>
      </c>
      <c r="AL290" s="1" t="str">
        <f t="shared" si="30"/>
        <v>3. Better</v>
      </c>
    </row>
    <row r="291" spans="1:38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f t="shared" si="25"/>
        <v>0</v>
      </c>
      <c r="AH291" t="str">
        <f t="shared" si="26"/>
        <v>26-35</v>
      </c>
      <c r="AI291" t="str">
        <f t="shared" si="27"/>
        <v>2. 3K-6K</v>
      </c>
      <c r="AJ291" s="1" t="str">
        <f t="shared" si="28"/>
        <v>2. 2-5 yrs</v>
      </c>
      <c r="AK291" s="1" t="str">
        <f t="shared" si="29"/>
        <v>4. Very High</v>
      </c>
      <c r="AL291" s="1" t="str">
        <f t="shared" si="30"/>
        <v>3. Better</v>
      </c>
    </row>
    <row r="292" spans="1:38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f t="shared" si="25"/>
        <v>0</v>
      </c>
      <c r="AH292" t="str">
        <f t="shared" si="26"/>
        <v>46-55</v>
      </c>
      <c r="AI292" t="str">
        <f t="shared" si="27"/>
        <v>4. 10K+</v>
      </c>
      <c r="AJ292" s="1" t="str">
        <f t="shared" si="28"/>
        <v>2. 2-5 yrs</v>
      </c>
      <c r="AK292" s="1" t="str">
        <f t="shared" si="29"/>
        <v>1. Low</v>
      </c>
      <c r="AL292" s="1" t="str">
        <f t="shared" si="30"/>
        <v>3. Better</v>
      </c>
    </row>
    <row r="293" spans="1:38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f t="shared" si="25"/>
        <v>0</v>
      </c>
      <c r="AH293" t="str">
        <f t="shared" si="26"/>
        <v>36-45</v>
      </c>
      <c r="AI293" t="str">
        <f t="shared" si="27"/>
        <v>2. 3K-6K</v>
      </c>
      <c r="AJ293" s="1" t="str">
        <f t="shared" si="28"/>
        <v>3. 6-10 yrs</v>
      </c>
      <c r="AK293" s="1" t="str">
        <f t="shared" si="29"/>
        <v>2. Medium</v>
      </c>
      <c r="AL293" s="1" t="str">
        <f t="shared" si="30"/>
        <v>3. Better</v>
      </c>
    </row>
    <row r="294" spans="1:38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f t="shared" si="25"/>
        <v>0</v>
      </c>
      <c r="AH294" t="str">
        <f t="shared" si="26"/>
        <v>26-35</v>
      </c>
      <c r="AI294" t="str">
        <f t="shared" si="27"/>
        <v>1. Under 3K</v>
      </c>
      <c r="AJ294" s="1" t="str">
        <f t="shared" si="28"/>
        <v>2. 2-5 yrs</v>
      </c>
      <c r="AK294" s="1" t="str">
        <f t="shared" si="29"/>
        <v>2. Medium</v>
      </c>
      <c r="AL294" s="1" t="str">
        <f t="shared" si="30"/>
        <v>2. Good</v>
      </c>
    </row>
    <row r="295" spans="1:38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f t="shared" si="25"/>
        <v>1</v>
      </c>
      <c r="AH295" t="str">
        <f t="shared" si="26"/>
        <v>26-35</v>
      </c>
      <c r="AI295" t="str">
        <f t="shared" si="27"/>
        <v>2. 3K-6K</v>
      </c>
      <c r="AJ295" s="1" t="str">
        <f t="shared" si="28"/>
        <v>3. 6-10 yrs</v>
      </c>
      <c r="AK295" s="1" t="str">
        <f t="shared" si="29"/>
        <v>4. Very High</v>
      </c>
      <c r="AL295" s="1" t="str">
        <f t="shared" si="30"/>
        <v>3. Better</v>
      </c>
    </row>
    <row r="296" spans="1:38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f t="shared" si="25"/>
        <v>0</v>
      </c>
      <c r="AH296" t="str">
        <f t="shared" si="26"/>
        <v>36-45</v>
      </c>
      <c r="AI296" t="str">
        <f t="shared" si="27"/>
        <v>1. Under 3K</v>
      </c>
      <c r="AJ296" s="1" t="str">
        <f t="shared" si="28"/>
        <v>2. 2-5 yrs</v>
      </c>
      <c r="AK296" s="1" t="str">
        <f t="shared" si="29"/>
        <v>4. Very High</v>
      </c>
      <c r="AL296" s="1" t="str">
        <f t="shared" si="30"/>
        <v>2. Good</v>
      </c>
    </row>
    <row r="297" spans="1:38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f t="shared" si="25"/>
        <v>0</v>
      </c>
      <c r="AH297" t="str">
        <f t="shared" si="26"/>
        <v>36-45</v>
      </c>
      <c r="AI297" t="str">
        <f t="shared" si="27"/>
        <v>4. 10K+</v>
      </c>
      <c r="AJ297" s="1" t="str">
        <f t="shared" si="28"/>
        <v>4. 10+ yrs</v>
      </c>
      <c r="AK297" s="1" t="str">
        <f t="shared" si="29"/>
        <v>2. Medium</v>
      </c>
      <c r="AL297" s="1" t="str">
        <f t="shared" si="30"/>
        <v>4. Best</v>
      </c>
    </row>
    <row r="298" spans="1:38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f t="shared" si="25"/>
        <v>1</v>
      </c>
      <c r="AH298" t="str">
        <f t="shared" si="26"/>
        <v>18-25</v>
      </c>
      <c r="AI298" t="str">
        <f t="shared" si="27"/>
        <v>1. Under 3K</v>
      </c>
      <c r="AJ298" s="1" t="str">
        <f t="shared" si="28"/>
        <v>1. 0-1 yrs</v>
      </c>
      <c r="AK298" s="1" t="str">
        <f t="shared" si="29"/>
        <v>3. High</v>
      </c>
      <c r="AL298" s="1" t="str">
        <f t="shared" si="30"/>
        <v>3. Better</v>
      </c>
    </row>
    <row r="299" spans="1:38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f t="shared" si="25"/>
        <v>0</v>
      </c>
      <c r="AH299" t="str">
        <f t="shared" si="26"/>
        <v>26-35</v>
      </c>
      <c r="AI299" t="str">
        <f t="shared" si="27"/>
        <v>3. 6K-10K</v>
      </c>
      <c r="AJ299" s="1" t="str">
        <f t="shared" si="28"/>
        <v>4. 10+ yrs</v>
      </c>
      <c r="AK299" s="1" t="str">
        <f t="shared" si="29"/>
        <v>2. Medium</v>
      </c>
      <c r="AL299" s="1" t="str">
        <f t="shared" si="30"/>
        <v>2. Good</v>
      </c>
    </row>
    <row r="300" spans="1:38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f t="shared" si="25"/>
        <v>0</v>
      </c>
      <c r="AH300" t="str">
        <f t="shared" si="26"/>
        <v>36-45</v>
      </c>
      <c r="AI300" t="str">
        <f t="shared" si="27"/>
        <v>2. 3K-6K</v>
      </c>
      <c r="AJ300" s="1" t="str">
        <f t="shared" si="28"/>
        <v>1. 0-1 yrs</v>
      </c>
      <c r="AK300" s="1" t="str">
        <f t="shared" si="29"/>
        <v>4. Very High</v>
      </c>
      <c r="AL300" s="1" t="str">
        <f t="shared" si="30"/>
        <v>3. Better</v>
      </c>
    </row>
    <row r="301" spans="1:38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f t="shared" si="25"/>
        <v>0</v>
      </c>
      <c r="AH301" t="str">
        <f t="shared" si="26"/>
        <v>46-55</v>
      </c>
      <c r="AI301" t="str">
        <f t="shared" si="27"/>
        <v>2. 3K-6K</v>
      </c>
      <c r="AJ301" s="1" t="str">
        <f t="shared" si="28"/>
        <v>2. 2-5 yrs</v>
      </c>
      <c r="AK301" s="1" t="str">
        <f t="shared" si="29"/>
        <v>2. Medium</v>
      </c>
      <c r="AL301" s="1" t="str">
        <f t="shared" si="30"/>
        <v>3. Better</v>
      </c>
    </row>
    <row r="302" spans="1:38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f t="shared" si="25"/>
        <v>0</v>
      </c>
      <c r="AH302" t="str">
        <f t="shared" si="26"/>
        <v>36-45</v>
      </c>
      <c r="AI302" t="str">
        <f t="shared" si="27"/>
        <v>4. 10K+</v>
      </c>
      <c r="AJ302" s="1" t="str">
        <f t="shared" si="28"/>
        <v>4. 10+ yrs</v>
      </c>
      <c r="AK302" s="1" t="str">
        <f t="shared" si="29"/>
        <v>2. Medium</v>
      </c>
      <c r="AL302" s="1" t="str">
        <f t="shared" si="30"/>
        <v>3. Better</v>
      </c>
    </row>
    <row r="303" spans="1:38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f t="shared" si="25"/>
        <v>0</v>
      </c>
      <c r="AH303" t="str">
        <f t="shared" si="26"/>
        <v>18-25</v>
      </c>
      <c r="AI303" t="str">
        <f t="shared" si="27"/>
        <v>1. Under 3K</v>
      </c>
      <c r="AJ303" s="1" t="str">
        <f t="shared" si="28"/>
        <v>1. 0-1 yrs</v>
      </c>
      <c r="AK303" s="1" t="str">
        <f t="shared" si="29"/>
        <v>3. High</v>
      </c>
      <c r="AL303" s="1" t="str">
        <f t="shared" si="30"/>
        <v>3. Better</v>
      </c>
    </row>
    <row r="304" spans="1:38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f t="shared" si="25"/>
        <v>0</v>
      </c>
      <c r="AH304" t="str">
        <f t="shared" si="26"/>
        <v>26-35</v>
      </c>
      <c r="AI304" t="str">
        <f t="shared" si="27"/>
        <v>2. 3K-6K</v>
      </c>
      <c r="AJ304" s="1" t="str">
        <f t="shared" si="28"/>
        <v>3. 6-10 yrs</v>
      </c>
      <c r="AK304" s="1" t="str">
        <f t="shared" si="29"/>
        <v>1. Low</v>
      </c>
      <c r="AL304" s="1" t="str">
        <f t="shared" si="30"/>
        <v>3. Better</v>
      </c>
    </row>
    <row r="305" spans="1:38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f t="shared" si="25"/>
        <v>0</v>
      </c>
      <c r="AH305" t="str">
        <f t="shared" si="26"/>
        <v>26-35</v>
      </c>
      <c r="AI305" t="str">
        <f t="shared" si="27"/>
        <v>3. 6K-10K</v>
      </c>
      <c r="AJ305" s="1" t="str">
        <f t="shared" si="28"/>
        <v>3. 6-10 yrs</v>
      </c>
      <c r="AK305" s="1" t="str">
        <f t="shared" si="29"/>
        <v>4. Very High</v>
      </c>
      <c r="AL305" s="1" t="str">
        <f t="shared" si="30"/>
        <v>2. Good</v>
      </c>
    </row>
    <row r="306" spans="1:38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f t="shared" si="25"/>
        <v>0</v>
      </c>
      <c r="AH306" t="str">
        <f t="shared" si="26"/>
        <v>36-45</v>
      </c>
      <c r="AI306" t="str">
        <f t="shared" si="27"/>
        <v>3. 6K-10K</v>
      </c>
      <c r="AJ306" s="1" t="str">
        <f t="shared" si="28"/>
        <v>4. 10+ yrs</v>
      </c>
      <c r="AK306" s="1" t="str">
        <f t="shared" si="29"/>
        <v>4. Very High</v>
      </c>
      <c r="AL306" s="1" t="str">
        <f t="shared" si="30"/>
        <v>2. Good</v>
      </c>
    </row>
    <row r="307" spans="1:38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f t="shared" si="25"/>
        <v>0</v>
      </c>
      <c r="AH307" t="str">
        <f t="shared" si="26"/>
        <v>36-45</v>
      </c>
      <c r="AI307" t="str">
        <f t="shared" si="27"/>
        <v>2. 3K-6K</v>
      </c>
      <c r="AJ307" s="1" t="str">
        <f t="shared" si="28"/>
        <v>3. 6-10 yrs</v>
      </c>
      <c r="AK307" s="1" t="str">
        <f t="shared" si="29"/>
        <v>2. Medium</v>
      </c>
      <c r="AL307" s="1" t="str">
        <f t="shared" si="30"/>
        <v>3. Better</v>
      </c>
    </row>
    <row r="308" spans="1:38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f t="shared" si="25"/>
        <v>0</v>
      </c>
      <c r="AH308" t="str">
        <f t="shared" si="26"/>
        <v>26-35</v>
      </c>
      <c r="AI308" t="str">
        <f t="shared" si="27"/>
        <v>2. 3K-6K</v>
      </c>
      <c r="AJ308" s="1" t="str">
        <f t="shared" si="28"/>
        <v>4. 10+ yrs</v>
      </c>
      <c r="AK308" s="1" t="str">
        <f t="shared" si="29"/>
        <v>3. High</v>
      </c>
      <c r="AL308" s="1" t="str">
        <f t="shared" si="30"/>
        <v>2. Good</v>
      </c>
    </row>
    <row r="309" spans="1:38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f t="shared" si="25"/>
        <v>0</v>
      </c>
      <c r="AH309" t="str">
        <f t="shared" si="26"/>
        <v>36-45</v>
      </c>
      <c r="AI309" t="str">
        <f t="shared" si="27"/>
        <v>4. 10K+</v>
      </c>
      <c r="AJ309" s="1" t="str">
        <f t="shared" si="28"/>
        <v>3. 6-10 yrs</v>
      </c>
      <c r="AK309" s="1" t="str">
        <f t="shared" si="29"/>
        <v>2. Medium</v>
      </c>
      <c r="AL309" s="1" t="str">
        <f t="shared" si="30"/>
        <v>3. Better</v>
      </c>
    </row>
    <row r="310" spans="1:38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f t="shared" si="25"/>
        <v>0</v>
      </c>
      <c r="AH310" t="str">
        <f t="shared" si="26"/>
        <v>56+</v>
      </c>
      <c r="AI310" t="str">
        <f t="shared" si="27"/>
        <v>2. 3K-6K</v>
      </c>
      <c r="AJ310" s="1" t="str">
        <f t="shared" si="28"/>
        <v>2. 2-5 yrs</v>
      </c>
      <c r="AK310" s="1" t="str">
        <f t="shared" si="29"/>
        <v>3. High</v>
      </c>
      <c r="AL310" s="1" t="str">
        <f t="shared" si="30"/>
        <v>3. Better</v>
      </c>
    </row>
    <row r="311" spans="1:38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f t="shared" si="25"/>
        <v>0</v>
      </c>
      <c r="AH311" t="str">
        <f t="shared" si="26"/>
        <v>26-35</v>
      </c>
      <c r="AI311" t="str">
        <f t="shared" si="27"/>
        <v>2. 3K-6K</v>
      </c>
      <c r="AJ311" s="1" t="str">
        <f t="shared" si="28"/>
        <v>2. 2-5 yrs</v>
      </c>
      <c r="AK311" s="1" t="str">
        <f t="shared" si="29"/>
        <v>4. Very High</v>
      </c>
      <c r="AL311" s="1" t="str">
        <f t="shared" si="30"/>
        <v>3. Better</v>
      </c>
    </row>
    <row r="312" spans="1:38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f t="shared" si="25"/>
        <v>0</v>
      </c>
      <c r="AH312" t="str">
        <f t="shared" si="26"/>
        <v>26-35</v>
      </c>
      <c r="AI312" t="str">
        <f t="shared" si="27"/>
        <v>3. 6K-10K</v>
      </c>
      <c r="AJ312" s="1" t="str">
        <f t="shared" si="28"/>
        <v>2. 2-5 yrs</v>
      </c>
      <c r="AK312" s="1" t="str">
        <f t="shared" si="29"/>
        <v>1. Low</v>
      </c>
      <c r="AL312" s="1" t="str">
        <f t="shared" si="30"/>
        <v>3. Better</v>
      </c>
    </row>
    <row r="313" spans="1:38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f t="shared" si="25"/>
        <v>0</v>
      </c>
      <c r="AH313" t="str">
        <f t="shared" si="26"/>
        <v>36-45</v>
      </c>
      <c r="AI313" t="str">
        <f t="shared" si="27"/>
        <v>2. 3K-6K</v>
      </c>
      <c r="AJ313" s="1" t="str">
        <f t="shared" si="28"/>
        <v>4. 10+ yrs</v>
      </c>
      <c r="AK313" s="1" t="str">
        <f t="shared" si="29"/>
        <v>1. Low</v>
      </c>
      <c r="AL313" s="1" t="str">
        <f t="shared" si="30"/>
        <v>3. Better</v>
      </c>
    </row>
    <row r="314" spans="1:38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f t="shared" si="25"/>
        <v>0</v>
      </c>
      <c r="AH314" t="str">
        <f t="shared" si="26"/>
        <v>26-35</v>
      </c>
      <c r="AI314" t="str">
        <f t="shared" si="27"/>
        <v>1. Under 3K</v>
      </c>
      <c r="AJ314" s="1" t="str">
        <f t="shared" si="28"/>
        <v>2. 2-5 yrs</v>
      </c>
      <c r="AK314" s="1" t="str">
        <f t="shared" si="29"/>
        <v>4. Very High</v>
      </c>
      <c r="AL314" s="1" t="str">
        <f t="shared" si="30"/>
        <v>1. Bad</v>
      </c>
    </row>
    <row r="315" spans="1:38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f t="shared" si="25"/>
        <v>0</v>
      </c>
      <c r="AH315" t="str">
        <f t="shared" si="26"/>
        <v>26-35</v>
      </c>
      <c r="AI315" t="str">
        <f t="shared" si="27"/>
        <v>4. 10K+</v>
      </c>
      <c r="AJ315" s="1" t="str">
        <f t="shared" si="28"/>
        <v>3. 6-10 yrs</v>
      </c>
      <c r="AK315" s="1" t="str">
        <f t="shared" si="29"/>
        <v>2. Medium</v>
      </c>
      <c r="AL315" s="1" t="str">
        <f t="shared" si="30"/>
        <v>3. Better</v>
      </c>
    </row>
    <row r="316" spans="1:38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f t="shared" si="25"/>
        <v>0</v>
      </c>
      <c r="AH316" t="str">
        <f t="shared" si="26"/>
        <v>36-45</v>
      </c>
      <c r="AI316" t="str">
        <f t="shared" si="27"/>
        <v>4. 10K+</v>
      </c>
      <c r="AJ316" s="1" t="str">
        <f t="shared" si="28"/>
        <v>4. 10+ yrs</v>
      </c>
      <c r="AK316" s="1" t="str">
        <f t="shared" si="29"/>
        <v>1. Low</v>
      </c>
      <c r="AL316" s="1" t="str">
        <f t="shared" si="30"/>
        <v>3. Better</v>
      </c>
    </row>
    <row r="317" spans="1:38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f t="shared" si="25"/>
        <v>0</v>
      </c>
      <c r="AH317" t="str">
        <f t="shared" si="26"/>
        <v>36-45</v>
      </c>
      <c r="AI317" t="str">
        <f t="shared" si="27"/>
        <v>1. Under 3K</v>
      </c>
      <c r="AJ317" s="1" t="str">
        <f t="shared" si="28"/>
        <v>3. 6-10 yrs</v>
      </c>
      <c r="AK317" s="1" t="str">
        <f t="shared" si="29"/>
        <v>4. Very High</v>
      </c>
      <c r="AL317" s="1" t="str">
        <f t="shared" si="30"/>
        <v>3. Better</v>
      </c>
    </row>
    <row r="318" spans="1:38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f t="shared" si="25"/>
        <v>0</v>
      </c>
      <c r="AH318" t="str">
        <f t="shared" si="26"/>
        <v>46-55</v>
      </c>
      <c r="AI318" t="str">
        <f t="shared" si="27"/>
        <v>4. 10K+</v>
      </c>
      <c r="AJ318" s="1" t="str">
        <f t="shared" si="28"/>
        <v>3. 6-10 yrs</v>
      </c>
      <c r="AK318" s="1" t="str">
        <f t="shared" si="29"/>
        <v>3. High</v>
      </c>
      <c r="AL318" s="1" t="str">
        <f t="shared" si="30"/>
        <v>3. Better</v>
      </c>
    </row>
    <row r="319" spans="1:38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f t="shared" si="25"/>
        <v>1</v>
      </c>
      <c r="AH319" t="str">
        <f t="shared" si="26"/>
        <v>46-55</v>
      </c>
      <c r="AI319" t="str">
        <f t="shared" si="27"/>
        <v>2. 3K-6K</v>
      </c>
      <c r="AJ319" s="1" t="str">
        <f t="shared" si="28"/>
        <v>3. 6-10 yrs</v>
      </c>
      <c r="AK319" s="1" t="str">
        <f t="shared" si="29"/>
        <v>2. Medium</v>
      </c>
      <c r="AL319" s="1" t="str">
        <f t="shared" si="30"/>
        <v>2. Good</v>
      </c>
    </row>
    <row r="320" spans="1:38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f t="shared" si="25"/>
        <v>0</v>
      </c>
      <c r="AH320" t="str">
        <f t="shared" si="26"/>
        <v>26-35</v>
      </c>
      <c r="AI320" t="str">
        <f t="shared" si="27"/>
        <v>1. Under 3K</v>
      </c>
      <c r="AJ320" s="1" t="str">
        <f t="shared" si="28"/>
        <v>2. 2-5 yrs</v>
      </c>
      <c r="AK320" s="1" t="str">
        <f t="shared" si="29"/>
        <v>2. Medium</v>
      </c>
      <c r="AL320" s="1" t="str">
        <f t="shared" si="30"/>
        <v>2. Good</v>
      </c>
    </row>
    <row r="321" spans="1:38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f t="shared" si="25"/>
        <v>0</v>
      </c>
      <c r="AH321" t="str">
        <f t="shared" si="26"/>
        <v>26-35</v>
      </c>
      <c r="AI321" t="str">
        <f t="shared" si="27"/>
        <v>2. 3K-6K</v>
      </c>
      <c r="AJ321" s="1" t="str">
        <f t="shared" si="28"/>
        <v>4. 10+ yrs</v>
      </c>
      <c r="AK321" s="1" t="str">
        <f t="shared" si="29"/>
        <v>2. Medium</v>
      </c>
      <c r="AL321" s="1" t="str">
        <f t="shared" si="30"/>
        <v>3. Better</v>
      </c>
    </row>
    <row r="322" spans="1:38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f t="shared" ref="AG322:AG385" si="31">IF(B322="Yes",1,0)</f>
        <v>0</v>
      </c>
      <c r="AH322" t="str">
        <f t="shared" ref="AH322:AH385" si="32">IF(A322&lt;26,"18-25",IF(A322&lt;36,"26-35",IF(A322&lt;46,"36-45",IF(A322&lt;56,"46-55","56+"))))</f>
        <v>26-35</v>
      </c>
      <c r="AI322" t="str">
        <f t="shared" ref="AI322:AI385" si="33">IF(R322&lt;3000,"1. Under 3K",IF(R322&lt;6000,"2. 3K-6K",IF(R322&lt;10000,"3. 6K-10K","4. 10K+")))</f>
        <v>2. 3K-6K</v>
      </c>
      <c r="AJ322" s="1" t="str">
        <f t="shared" ref="AJ322:AJ385" si="34">IF(AC322&lt;2,"1. 0-1 yrs",IF(AC322&lt;6,"2. 2-5 yrs",IF(AC322&lt;11,"3. 6-10 yrs","4. 10+ yrs")))</f>
        <v>2. 2-5 yrs</v>
      </c>
      <c r="AK322" s="1" t="str">
        <f t="shared" ref="AK322:AK385" si="35">CHOOSE(P322,"1. Low","2. Medium","3. High","4. Very High")</f>
        <v>3. High</v>
      </c>
      <c r="AL322" s="1" t="str">
        <f t="shared" ref="AL322:AL385" si="36">CHOOSE(AB322,"1. Bad","2. Good","3. Better","4. Best")</f>
        <v>3. Better</v>
      </c>
    </row>
    <row r="323" spans="1:38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f t="shared" si="31"/>
        <v>0</v>
      </c>
      <c r="AH323" t="str">
        <f t="shared" si="32"/>
        <v>26-35</v>
      </c>
      <c r="AI323" t="str">
        <f t="shared" si="33"/>
        <v>3. 6K-10K</v>
      </c>
      <c r="AJ323" s="1" t="str">
        <f t="shared" si="34"/>
        <v>3. 6-10 yrs</v>
      </c>
      <c r="AK323" s="1" t="str">
        <f t="shared" si="35"/>
        <v>4. Very High</v>
      </c>
      <c r="AL323" s="1" t="str">
        <f t="shared" si="36"/>
        <v>3. Better</v>
      </c>
    </row>
    <row r="324" spans="1:38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f t="shared" si="31"/>
        <v>0</v>
      </c>
      <c r="AH324" t="str">
        <f t="shared" si="32"/>
        <v>26-35</v>
      </c>
      <c r="AI324" t="str">
        <f t="shared" si="33"/>
        <v>2. 3K-6K</v>
      </c>
      <c r="AJ324" s="1" t="str">
        <f t="shared" si="34"/>
        <v>3. 6-10 yrs</v>
      </c>
      <c r="AK324" s="1" t="str">
        <f t="shared" si="35"/>
        <v>4. Very High</v>
      </c>
      <c r="AL324" s="1" t="str">
        <f t="shared" si="36"/>
        <v>2. Good</v>
      </c>
    </row>
    <row r="325" spans="1:38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f t="shared" si="31"/>
        <v>1</v>
      </c>
      <c r="AH325" t="str">
        <f t="shared" si="32"/>
        <v>26-35</v>
      </c>
      <c r="AI325" t="str">
        <f t="shared" si="33"/>
        <v>2. 3K-6K</v>
      </c>
      <c r="AJ325" s="1" t="str">
        <f t="shared" si="34"/>
        <v>2. 2-5 yrs</v>
      </c>
      <c r="AK325" s="1" t="str">
        <f t="shared" si="35"/>
        <v>4. Very High</v>
      </c>
      <c r="AL325" s="1" t="str">
        <f t="shared" si="36"/>
        <v>2. Good</v>
      </c>
    </row>
    <row r="326" spans="1:38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f t="shared" si="31"/>
        <v>0</v>
      </c>
      <c r="AH326" t="str">
        <f t="shared" si="32"/>
        <v>26-35</v>
      </c>
      <c r="AI326" t="str">
        <f t="shared" si="33"/>
        <v>2. 3K-6K</v>
      </c>
      <c r="AJ326" s="1" t="str">
        <f t="shared" si="34"/>
        <v>3. 6-10 yrs</v>
      </c>
      <c r="AK326" s="1" t="str">
        <f t="shared" si="35"/>
        <v>4. Very High</v>
      </c>
      <c r="AL326" s="1" t="str">
        <f t="shared" si="36"/>
        <v>3. Better</v>
      </c>
    </row>
    <row r="327" spans="1:38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f t="shared" si="31"/>
        <v>0</v>
      </c>
      <c r="AH327" t="str">
        <f t="shared" si="32"/>
        <v>26-35</v>
      </c>
      <c r="AI327" t="str">
        <f t="shared" si="33"/>
        <v>3. 6K-10K</v>
      </c>
      <c r="AJ327" s="1" t="str">
        <f t="shared" si="34"/>
        <v>3. 6-10 yrs</v>
      </c>
      <c r="AK327" s="1" t="str">
        <f t="shared" si="35"/>
        <v>3. High</v>
      </c>
      <c r="AL327" s="1" t="str">
        <f t="shared" si="36"/>
        <v>3. Better</v>
      </c>
    </row>
    <row r="328" spans="1:38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f t="shared" si="31"/>
        <v>0</v>
      </c>
      <c r="AH328" t="str">
        <f t="shared" si="32"/>
        <v>36-45</v>
      </c>
      <c r="AI328" t="str">
        <f t="shared" si="33"/>
        <v>4. 10K+</v>
      </c>
      <c r="AJ328" s="1" t="str">
        <f t="shared" si="34"/>
        <v>4. 10+ yrs</v>
      </c>
      <c r="AK328" s="1" t="str">
        <f t="shared" si="35"/>
        <v>4. Very High</v>
      </c>
      <c r="AL328" s="1" t="str">
        <f t="shared" si="36"/>
        <v>3. Better</v>
      </c>
    </row>
    <row r="329" spans="1:38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f t="shared" si="31"/>
        <v>1</v>
      </c>
      <c r="AH329" t="str">
        <f t="shared" si="32"/>
        <v>36-45</v>
      </c>
      <c r="AI329" t="str">
        <f t="shared" si="33"/>
        <v>2. 3K-6K</v>
      </c>
      <c r="AJ329" s="1" t="str">
        <f t="shared" si="34"/>
        <v>1. 0-1 yrs</v>
      </c>
      <c r="AK329" s="1" t="str">
        <f t="shared" si="35"/>
        <v>3. High</v>
      </c>
      <c r="AL329" s="1" t="str">
        <f t="shared" si="36"/>
        <v>2. Good</v>
      </c>
    </row>
    <row r="330" spans="1:38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f t="shared" si="31"/>
        <v>0</v>
      </c>
      <c r="AH330" t="str">
        <f t="shared" si="32"/>
        <v>26-35</v>
      </c>
      <c r="AI330" t="str">
        <f t="shared" si="33"/>
        <v>2. 3K-6K</v>
      </c>
      <c r="AJ330" s="1" t="str">
        <f t="shared" si="34"/>
        <v>3. 6-10 yrs</v>
      </c>
      <c r="AK330" s="1" t="str">
        <f t="shared" si="35"/>
        <v>4. Very High</v>
      </c>
      <c r="AL330" s="1" t="str">
        <f t="shared" si="36"/>
        <v>2. Good</v>
      </c>
    </row>
    <row r="331" spans="1:38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f t="shared" si="31"/>
        <v>0</v>
      </c>
      <c r="AH331" t="str">
        <f t="shared" si="32"/>
        <v>46-55</v>
      </c>
      <c r="AI331" t="str">
        <f t="shared" si="33"/>
        <v>4. 10K+</v>
      </c>
      <c r="AJ331" s="1" t="str">
        <f t="shared" si="34"/>
        <v>2. 2-5 yrs</v>
      </c>
      <c r="AK331" s="1" t="str">
        <f t="shared" si="35"/>
        <v>3. High</v>
      </c>
      <c r="AL331" s="1" t="str">
        <f t="shared" si="36"/>
        <v>3. Better</v>
      </c>
    </row>
    <row r="332" spans="1:38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f t="shared" si="31"/>
        <v>0</v>
      </c>
      <c r="AH332" t="str">
        <f t="shared" si="32"/>
        <v>36-45</v>
      </c>
      <c r="AI332" t="str">
        <f t="shared" si="33"/>
        <v>2. 3K-6K</v>
      </c>
      <c r="AJ332" s="1" t="str">
        <f t="shared" si="34"/>
        <v>3. 6-10 yrs</v>
      </c>
      <c r="AK332" s="1" t="str">
        <f t="shared" si="35"/>
        <v>3. High</v>
      </c>
      <c r="AL332" s="1" t="str">
        <f t="shared" si="36"/>
        <v>4. Best</v>
      </c>
    </row>
    <row r="333" spans="1:38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f t="shared" si="31"/>
        <v>0</v>
      </c>
      <c r="AH333" t="str">
        <f t="shared" si="32"/>
        <v>26-35</v>
      </c>
      <c r="AI333" t="str">
        <f t="shared" si="33"/>
        <v>3. 6K-10K</v>
      </c>
      <c r="AJ333" s="1" t="str">
        <f t="shared" si="34"/>
        <v>2. 2-5 yrs</v>
      </c>
      <c r="AK333" s="1" t="str">
        <f t="shared" si="35"/>
        <v>2. Medium</v>
      </c>
      <c r="AL333" s="1" t="str">
        <f t="shared" si="36"/>
        <v>3. Better</v>
      </c>
    </row>
    <row r="334" spans="1:38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f t="shared" si="31"/>
        <v>0</v>
      </c>
      <c r="AH334" t="str">
        <f t="shared" si="32"/>
        <v>46-55</v>
      </c>
      <c r="AI334" t="str">
        <f t="shared" si="33"/>
        <v>2. 3K-6K</v>
      </c>
      <c r="AJ334" s="1" t="str">
        <f t="shared" si="34"/>
        <v>2. 2-5 yrs</v>
      </c>
      <c r="AK334" s="1" t="str">
        <f t="shared" si="35"/>
        <v>3. High</v>
      </c>
      <c r="AL334" s="1" t="str">
        <f t="shared" si="36"/>
        <v>2. Good</v>
      </c>
    </row>
    <row r="335" spans="1:38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f t="shared" si="31"/>
        <v>0</v>
      </c>
      <c r="AH335" t="str">
        <f t="shared" si="32"/>
        <v>36-45</v>
      </c>
      <c r="AI335" t="str">
        <f t="shared" si="33"/>
        <v>3. 6K-10K</v>
      </c>
      <c r="AJ335" s="1" t="str">
        <f t="shared" si="34"/>
        <v>1. 0-1 yrs</v>
      </c>
      <c r="AK335" s="1" t="str">
        <f t="shared" si="35"/>
        <v>1. Low</v>
      </c>
      <c r="AL335" s="1" t="str">
        <f t="shared" si="36"/>
        <v>2. Good</v>
      </c>
    </row>
    <row r="336" spans="1:38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f t="shared" si="31"/>
        <v>0</v>
      </c>
      <c r="AH336" t="str">
        <f t="shared" si="32"/>
        <v>36-45</v>
      </c>
      <c r="AI336" t="str">
        <f t="shared" si="33"/>
        <v>2. 3K-6K</v>
      </c>
      <c r="AJ336" s="1" t="str">
        <f t="shared" si="34"/>
        <v>3. 6-10 yrs</v>
      </c>
      <c r="AK336" s="1" t="str">
        <f t="shared" si="35"/>
        <v>4. Very High</v>
      </c>
      <c r="AL336" s="1" t="str">
        <f t="shared" si="36"/>
        <v>3. Better</v>
      </c>
    </row>
    <row r="337" spans="1:38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f t="shared" si="31"/>
        <v>0</v>
      </c>
      <c r="AH337" t="str">
        <f t="shared" si="32"/>
        <v>36-45</v>
      </c>
      <c r="AI337" t="str">
        <f t="shared" si="33"/>
        <v>3. 6K-10K</v>
      </c>
      <c r="AJ337" s="1" t="str">
        <f t="shared" si="34"/>
        <v>2. 2-5 yrs</v>
      </c>
      <c r="AK337" s="1" t="str">
        <f t="shared" si="35"/>
        <v>4. Very High</v>
      </c>
      <c r="AL337" s="1" t="str">
        <f t="shared" si="36"/>
        <v>2. Good</v>
      </c>
    </row>
    <row r="338" spans="1:38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f t="shared" si="31"/>
        <v>1</v>
      </c>
      <c r="AH338" t="str">
        <f t="shared" si="32"/>
        <v>26-35</v>
      </c>
      <c r="AI338" t="str">
        <f t="shared" si="33"/>
        <v>1. Under 3K</v>
      </c>
      <c r="AJ338" s="1" t="str">
        <f t="shared" si="34"/>
        <v>3. 6-10 yrs</v>
      </c>
      <c r="AK338" s="1" t="str">
        <f t="shared" si="35"/>
        <v>1. Low</v>
      </c>
      <c r="AL338" s="1" t="str">
        <f t="shared" si="36"/>
        <v>2. Good</v>
      </c>
    </row>
    <row r="339" spans="1:38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f t="shared" si="31"/>
        <v>0</v>
      </c>
      <c r="AH339" t="str">
        <f t="shared" si="32"/>
        <v>26-35</v>
      </c>
      <c r="AI339" t="str">
        <f t="shared" si="33"/>
        <v>2. 3K-6K</v>
      </c>
      <c r="AJ339" s="1" t="str">
        <f t="shared" si="34"/>
        <v>2. 2-5 yrs</v>
      </c>
      <c r="AK339" s="1" t="str">
        <f t="shared" si="35"/>
        <v>4. Very High</v>
      </c>
      <c r="AL339" s="1" t="str">
        <f t="shared" si="36"/>
        <v>3. Better</v>
      </c>
    </row>
    <row r="340" spans="1:38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f t="shared" si="31"/>
        <v>0</v>
      </c>
      <c r="AH340" t="str">
        <f t="shared" si="32"/>
        <v>26-35</v>
      </c>
      <c r="AI340" t="str">
        <f t="shared" si="33"/>
        <v>3. 6K-10K</v>
      </c>
      <c r="AJ340" s="1" t="str">
        <f t="shared" si="34"/>
        <v>3. 6-10 yrs</v>
      </c>
      <c r="AK340" s="1" t="str">
        <f t="shared" si="35"/>
        <v>3. High</v>
      </c>
      <c r="AL340" s="1" t="str">
        <f t="shared" si="36"/>
        <v>3. Better</v>
      </c>
    </row>
    <row r="341" spans="1:38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f t="shared" si="31"/>
        <v>0</v>
      </c>
      <c r="AH341" t="str">
        <f t="shared" si="32"/>
        <v>26-35</v>
      </c>
      <c r="AI341" t="str">
        <f t="shared" si="33"/>
        <v>3. 6K-10K</v>
      </c>
      <c r="AJ341" s="1" t="str">
        <f t="shared" si="34"/>
        <v>3. 6-10 yrs</v>
      </c>
      <c r="AK341" s="1" t="str">
        <f t="shared" si="35"/>
        <v>2. Medium</v>
      </c>
      <c r="AL341" s="1" t="str">
        <f t="shared" si="36"/>
        <v>3. Better</v>
      </c>
    </row>
    <row r="342" spans="1:38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f t="shared" si="31"/>
        <v>0</v>
      </c>
      <c r="AH342" t="str">
        <f t="shared" si="32"/>
        <v>36-45</v>
      </c>
      <c r="AI342" t="str">
        <f t="shared" si="33"/>
        <v>3. 6K-10K</v>
      </c>
      <c r="AJ342" s="1" t="str">
        <f t="shared" si="34"/>
        <v>3. 6-10 yrs</v>
      </c>
      <c r="AK342" s="1" t="str">
        <f t="shared" si="35"/>
        <v>4. Very High</v>
      </c>
      <c r="AL342" s="1" t="str">
        <f t="shared" si="36"/>
        <v>2. Good</v>
      </c>
    </row>
    <row r="343" spans="1:38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f t="shared" si="31"/>
        <v>0</v>
      </c>
      <c r="AH343" t="str">
        <f t="shared" si="32"/>
        <v>36-45</v>
      </c>
      <c r="AI343" t="str">
        <f t="shared" si="33"/>
        <v>4. 10K+</v>
      </c>
      <c r="AJ343" s="1" t="str">
        <f t="shared" si="34"/>
        <v>4. 10+ yrs</v>
      </c>
      <c r="AK343" s="1" t="str">
        <f t="shared" si="35"/>
        <v>4. Very High</v>
      </c>
      <c r="AL343" s="1" t="str">
        <f t="shared" si="36"/>
        <v>3. Better</v>
      </c>
    </row>
    <row r="344" spans="1:38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f t="shared" si="31"/>
        <v>0</v>
      </c>
      <c r="AH344" t="str">
        <f t="shared" si="32"/>
        <v>26-35</v>
      </c>
      <c r="AI344" t="str">
        <f t="shared" si="33"/>
        <v>3. 6K-10K</v>
      </c>
      <c r="AJ344" s="1" t="str">
        <f t="shared" si="34"/>
        <v>4. 10+ yrs</v>
      </c>
      <c r="AK344" s="1" t="str">
        <f t="shared" si="35"/>
        <v>4. Very High</v>
      </c>
      <c r="AL344" s="1" t="str">
        <f t="shared" si="36"/>
        <v>2. Good</v>
      </c>
    </row>
    <row r="345" spans="1:38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f t="shared" si="31"/>
        <v>0</v>
      </c>
      <c r="AH345" t="str">
        <f t="shared" si="32"/>
        <v>26-35</v>
      </c>
      <c r="AI345" t="str">
        <f t="shared" si="33"/>
        <v>3. 6K-10K</v>
      </c>
      <c r="AJ345" s="1" t="str">
        <f t="shared" si="34"/>
        <v>3. 6-10 yrs</v>
      </c>
      <c r="AK345" s="1" t="str">
        <f t="shared" si="35"/>
        <v>2. Medium</v>
      </c>
      <c r="AL345" s="1" t="str">
        <f t="shared" si="36"/>
        <v>3. Better</v>
      </c>
    </row>
    <row r="346" spans="1:38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f t="shared" si="31"/>
        <v>0</v>
      </c>
      <c r="AH346" t="str">
        <f t="shared" si="32"/>
        <v>26-35</v>
      </c>
      <c r="AI346" t="str">
        <f t="shared" si="33"/>
        <v>3. 6K-10K</v>
      </c>
      <c r="AJ346" s="1" t="str">
        <f t="shared" si="34"/>
        <v>4. 10+ yrs</v>
      </c>
      <c r="AK346" s="1" t="str">
        <f t="shared" si="35"/>
        <v>2. Medium</v>
      </c>
      <c r="AL346" s="1" t="str">
        <f t="shared" si="36"/>
        <v>3. Better</v>
      </c>
    </row>
    <row r="347" spans="1:38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f t="shared" si="31"/>
        <v>0</v>
      </c>
      <c r="AH347" t="str">
        <f t="shared" si="32"/>
        <v>18-25</v>
      </c>
      <c r="AI347" t="str">
        <f t="shared" si="33"/>
        <v>1. Under 3K</v>
      </c>
      <c r="AJ347" s="1" t="str">
        <f t="shared" si="34"/>
        <v>2. 2-5 yrs</v>
      </c>
      <c r="AK347" s="1" t="str">
        <f t="shared" si="35"/>
        <v>4. Very High</v>
      </c>
      <c r="AL347" s="1" t="str">
        <f t="shared" si="36"/>
        <v>2. Good</v>
      </c>
    </row>
    <row r="348" spans="1:38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f t="shared" si="31"/>
        <v>0</v>
      </c>
      <c r="AH348" t="str">
        <f t="shared" si="32"/>
        <v>36-45</v>
      </c>
      <c r="AI348" t="str">
        <f t="shared" si="33"/>
        <v>3. 6K-10K</v>
      </c>
      <c r="AJ348" s="1" t="str">
        <f t="shared" si="34"/>
        <v>2. 2-5 yrs</v>
      </c>
      <c r="AK348" s="1" t="str">
        <f t="shared" si="35"/>
        <v>2. Medium</v>
      </c>
      <c r="AL348" s="1" t="str">
        <f t="shared" si="36"/>
        <v>3. Better</v>
      </c>
    </row>
    <row r="349" spans="1:38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f t="shared" si="31"/>
        <v>0</v>
      </c>
      <c r="AH349" t="str">
        <f t="shared" si="32"/>
        <v>46-55</v>
      </c>
      <c r="AI349" t="str">
        <f t="shared" si="33"/>
        <v>1. Under 3K</v>
      </c>
      <c r="AJ349" s="1" t="str">
        <f t="shared" si="34"/>
        <v>1. 0-1 yrs</v>
      </c>
      <c r="AK349" s="1" t="str">
        <f t="shared" si="35"/>
        <v>3. High</v>
      </c>
      <c r="AL349" s="1" t="str">
        <f t="shared" si="36"/>
        <v>3. Better</v>
      </c>
    </row>
    <row r="350" spans="1:38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f t="shared" si="31"/>
        <v>0</v>
      </c>
      <c r="AH350" t="str">
        <f t="shared" si="32"/>
        <v>36-45</v>
      </c>
      <c r="AI350" t="str">
        <f t="shared" si="33"/>
        <v>4. 10K+</v>
      </c>
      <c r="AJ350" s="1" t="str">
        <f t="shared" si="34"/>
        <v>1. 0-1 yrs</v>
      </c>
      <c r="AK350" s="1" t="str">
        <f t="shared" si="35"/>
        <v>4. Very High</v>
      </c>
      <c r="AL350" s="1" t="str">
        <f t="shared" si="36"/>
        <v>3. Better</v>
      </c>
    </row>
    <row r="351" spans="1:38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f t="shared" si="31"/>
        <v>0</v>
      </c>
      <c r="AH351" t="str">
        <f t="shared" si="32"/>
        <v>26-35</v>
      </c>
      <c r="AI351" t="str">
        <f t="shared" si="33"/>
        <v>2. 3K-6K</v>
      </c>
      <c r="AJ351" s="1" t="str">
        <f t="shared" si="34"/>
        <v>2. 2-5 yrs</v>
      </c>
      <c r="AK351" s="1" t="str">
        <f t="shared" si="35"/>
        <v>3. High</v>
      </c>
      <c r="AL351" s="1" t="str">
        <f t="shared" si="36"/>
        <v>2. Good</v>
      </c>
    </row>
    <row r="352" spans="1:38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f t="shared" si="31"/>
        <v>0</v>
      </c>
      <c r="AH352" t="str">
        <f t="shared" si="32"/>
        <v>36-45</v>
      </c>
      <c r="AI352" t="str">
        <f t="shared" si="33"/>
        <v>1. Under 3K</v>
      </c>
      <c r="AJ352" s="1" t="str">
        <f t="shared" si="34"/>
        <v>2. 2-5 yrs</v>
      </c>
      <c r="AK352" s="1" t="str">
        <f t="shared" si="35"/>
        <v>3. High</v>
      </c>
      <c r="AL352" s="1" t="str">
        <f t="shared" si="36"/>
        <v>3. Better</v>
      </c>
    </row>
    <row r="353" spans="1:38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f t="shared" si="31"/>
        <v>0</v>
      </c>
      <c r="AH353" t="str">
        <f t="shared" si="32"/>
        <v>26-35</v>
      </c>
      <c r="AI353" t="str">
        <f t="shared" si="33"/>
        <v>1. Under 3K</v>
      </c>
      <c r="AJ353" s="1" t="str">
        <f t="shared" si="34"/>
        <v>3. 6-10 yrs</v>
      </c>
      <c r="AK353" s="1" t="str">
        <f t="shared" si="35"/>
        <v>2. Medium</v>
      </c>
      <c r="AL353" s="1" t="str">
        <f t="shared" si="36"/>
        <v>3. Better</v>
      </c>
    </row>
    <row r="354" spans="1:38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f t="shared" si="31"/>
        <v>0</v>
      </c>
      <c r="AH354" t="str">
        <f t="shared" si="32"/>
        <v>46-55</v>
      </c>
      <c r="AI354" t="str">
        <f t="shared" si="33"/>
        <v>4. 10K+</v>
      </c>
      <c r="AJ354" s="1" t="str">
        <f t="shared" si="34"/>
        <v>1. 0-1 yrs</v>
      </c>
      <c r="AK354" s="1" t="str">
        <f t="shared" si="35"/>
        <v>3. High</v>
      </c>
      <c r="AL354" s="1" t="str">
        <f t="shared" si="36"/>
        <v>1. Bad</v>
      </c>
    </row>
    <row r="355" spans="1:38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f t="shared" si="31"/>
        <v>0</v>
      </c>
      <c r="AH355" t="str">
        <f t="shared" si="32"/>
        <v>36-45</v>
      </c>
      <c r="AI355" t="str">
        <f t="shared" si="33"/>
        <v>2. 3K-6K</v>
      </c>
      <c r="AJ355" s="1" t="str">
        <f t="shared" si="34"/>
        <v>3. 6-10 yrs</v>
      </c>
      <c r="AK355" s="1" t="str">
        <f t="shared" si="35"/>
        <v>1. Low</v>
      </c>
      <c r="AL355" s="1" t="str">
        <f t="shared" si="36"/>
        <v>3. Better</v>
      </c>
    </row>
    <row r="356" spans="1:38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f t="shared" si="31"/>
        <v>0</v>
      </c>
      <c r="AH356" t="str">
        <f t="shared" si="32"/>
        <v>26-35</v>
      </c>
      <c r="AI356" t="str">
        <f t="shared" si="33"/>
        <v>2. 3K-6K</v>
      </c>
      <c r="AJ356" s="1" t="str">
        <f t="shared" si="34"/>
        <v>2. 2-5 yrs</v>
      </c>
      <c r="AK356" s="1" t="str">
        <f t="shared" si="35"/>
        <v>3. High</v>
      </c>
      <c r="AL356" s="1" t="str">
        <f t="shared" si="36"/>
        <v>4. Best</v>
      </c>
    </row>
    <row r="357" spans="1:38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f t="shared" si="31"/>
        <v>0</v>
      </c>
      <c r="AH357" t="str">
        <f t="shared" si="32"/>
        <v>26-35</v>
      </c>
      <c r="AI357" t="str">
        <f t="shared" si="33"/>
        <v>2. 3K-6K</v>
      </c>
      <c r="AJ357" s="1" t="str">
        <f t="shared" si="34"/>
        <v>3. 6-10 yrs</v>
      </c>
      <c r="AK357" s="1" t="str">
        <f t="shared" si="35"/>
        <v>3. High</v>
      </c>
      <c r="AL357" s="1" t="str">
        <f t="shared" si="36"/>
        <v>3. Better</v>
      </c>
    </row>
    <row r="358" spans="1:38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f t="shared" si="31"/>
        <v>0</v>
      </c>
      <c r="AH358" t="str">
        <f t="shared" si="32"/>
        <v>36-45</v>
      </c>
      <c r="AI358" t="str">
        <f t="shared" si="33"/>
        <v>3. 6K-10K</v>
      </c>
      <c r="AJ358" s="1" t="str">
        <f t="shared" si="34"/>
        <v>1. 0-1 yrs</v>
      </c>
      <c r="AK358" s="1" t="str">
        <f t="shared" si="35"/>
        <v>4. Very High</v>
      </c>
      <c r="AL358" s="1" t="str">
        <f t="shared" si="36"/>
        <v>3. Better</v>
      </c>
    </row>
    <row r="359" spans="1:38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f t="shared" si="31"/>
        <v>1</v>
      </c>
      <c r="AH359" t="str">
        <f t="shared" si="32"/>
        <v>18-25</v>
      </c>
      <c r="AI359" t="str">
        <f t="shared" si="33"/>
        <v>1. Under 3K</v>
      </c>
      <c r="AJ359" s="1" t="str">
        <f t="shared" si="34"/>
        <v>2. 2-5 yrs</v>
      </c>
      <c r="AK359" s="1" t="str">
        <f t="shared" si="35"/>
        <v>2. Medium</v>
      </c>
      <c r="AL359" s="1" t="str">
        <f t="shared" si="36"/>
        <v>3. Better</v>
      </c>
    </row>
    <row r="360" spans="1:38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f t="shared" si="31"/>
        <v>0</v>
      </c>
      <c r="AH360" t="str">
        <f t="shared" si="32"/>
        <v>36-45</v>
      </c>
      <c r="AI360" t="str">
        <f t="shared" si="33"/>
        <v>3. 6K-10K</v>
      </c>
      <c r="AJ360" s="1" t="str">
        <f t="shared" si="34"/>
        <v>1. 0-1 yrs</v>
      </c>
      <c r="AK360" s="1" t="str">
        <f t="shared" si="35"/>
        <v>4. Very High</v>
      </c>
      <c r="AL360" s="1" t="str">
        <f t="shared" si="36"/>
        <v>3. Better</v>
      </c>
    </row>
    <row r="361" spans="1:38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f t="shared" si="31"/>
        <v>0</v>
      </c>
      <c r="AH361" t="str">
        <f t="shared" si="32"/>
        <v>36-45</v>
      </c>
      <c r="AI361" t="str">
        <f t="shared" si="33"/>
        <v>3. 6K-10K</v>
      </c>
      <c r="AJ361" s="1" t="str">
        <f t="shared" si="34"/>
        <v>4. 10+ yrs</v>
      </c>
      <c r="AK361" s="1" t="str">
        <f t="shared" si="35"/>
        <v>4. Very High</v>
      </c>
      <c r="AL361" s="1" t="str">
        <f t="shared" si="36"/>
        <v>3. Better</v>
      </c>
    </row>
    <row r="362" spans="1:38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f t="shared" si="31"/>
        <v>0</v>
      </c>
      <c r="AH362" t="str">
        <f t="shared" si="32"/>
        <v>56+</v>
      </c>
      <c r="AI362" t="str">
        <f t="shared" si="33"/>
        <v>3. 6K-10K</v>
      </c>
      <c r="AJ362" s="1" t="str">
        <f t="shared" si="34"/>
        <v>2. 2-5 yrs</v>
      </c>
      <c r="AK362" s="1" t="str">
        <f t="shared" si="35"/>
        <v>3. High</v>
      </c>
      <c r="AL362" s="1" t="str">
        <f t="shared" si="36"/>
        <v>3. Better</v>
      </c>
    </row>
    <row r="363" spans="1:38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f t="shared" si="31"/>
        <v>0</v>
      </c>
      <c r="AH363" t="str">
        <f t="shared" si="32"/>
        <v>36-45</v>
      </c>
      <c r="AI363" t="str">
        <f t="shared" si="33"/>
        <v>1. Under 3K</v>
      </c>
      <c r="AJ363" s="1" t="str">
        <f t="shared" si="34"/>
        <v>3. 6-10 yrs</v>
      </c>
      <c r="AK363" s="1" t="str">
        <f t="shared" si="35"/>
        <v>3. High</v>
      </c>
      <c r="AL363" s="1" t="str">
        <f t="shared" si="36"/>
        <v>3. Better</v>
      </c>
    </row>
    <row r="364" spans="1:38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f t="shared" si="31"/>
        <v>0</v>
      </c>
      <c r="AH364" t="str">
        <f t="shared" si="32"/>
        <v>18-25</v>
      </c>
      <c r="AI364" t="str">
        <f t="shared" si="33"/>
        <v>1. Under 3K</v>
      </c>
      <c r="AJ364" s="1" t="str">
        <f t="shared" si="34"/>
        <v>2. 2-5 yrs</v>
      </c>
      <c r="AK364" s="1" t="str">
        <f t="shared" si="35"/>
        <v>4. Very High</v>
      </c>
      <c r="AL364" s="1" t="str">
        <f t="shared" si="36"/>
        <v>2. Good</v>
      </c>
    </row>
    <row r="365" spans="1:38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f t="shared" si="31"/>
        <v>1</v>
      </c>
      <c r="AH365" t="str">
        <f t="shared" si="32"/>
        <v>26-35</v>
      </c>
      <c r="AI365" t="str">
        <f t="shared" si="33"/>
        <v>1. Under 3K</v>
      </c>
      <c r="AJ365" s="1" t="str">
        <f t="shared" si="34"/>
        <v>1. 0-1 yrs</v>
      </c>
      <c r="AK365" s="1" t="str">
        <f t="shared" si="35"/>
        <v>3. High</v>
      </c>
      <c r="AL365" s="1" t="str">
        <f t="shared" si="36"/>
        <v>3. Better</v>
      </c>
    </row>
    <row r="366" spans="1:38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f t="shared" si="31"/>
        <v>0</v>
      </c>
      <c r="AH366" t="str">
        <f t="shared" si="32"/>
        <v>36-45</v>
      </c>
      <c r="AI366" t="str">
        <f t="shared" si="33"/>
        <v>2. 3K-6K</v>
      </c>
      <c r="AJ366" s="1" t="str">
        <f t="shared" si="34"/>
        <v>2. 2-5 yrs</v>
      </c>
      <c r="AK366" s="1" t="str">
        <f t="shared" si="35"/>
        <v>1. Low</v>
      </c>
      <c r="AL366" s="1" t="str">
        <f t="shared" si="36"/>
        <v>3. Better</v>
      </c>
    </row>
    <row r="367" spans="1:38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f t="shared" si="31"/>
        <v>0</v>
      </c>
      <c r="AH367" t="str">
        <f t="shared" si="32"/>
        <v>46-55</v>
      </c>
      <c r="AI367" t="str">
        <f t="shared" si="33"/>
        <v>2. 3K-6K</v>
      </c>
      <c r="AJ367" s="1" t="str">
        <f t="shared" si="34"/>
        <v>1. 0-1 yrs</v>
      </c>
      <c r="AK367" s="1" t="str">
        <f t="shared" si="35"/>
        <v>3. High</v>
      </c>
      <c r="AL367" s="1" t="str">
        <f t="shared" si="36"/>
        <v>4. Best</v>
      </c>
    </row>
    <row r="368" spans="1:38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f t="shared" si="31"/>
        <v>1</v>
      </c>
      <c r="AH368" t="str">
        <f t="shared" si="32"/>
        <v>36-45</v>
      </c>
      <c r="AI368" t="str">
        <f t="shared" si="33"/>
        <v>3. 6K-10K</v>
      </c>
      <c r="AJ368" s="1" t="str">
        <f t="shared" si="34"/>
        <v>3. 6-10 yrs</v>
      </c>
      <c r="AK368" s="1" t="str">
        <f t="shared" si="35"/>
        <v>2. Medium</v>
      </c>
      <c r="AL368" s="1" t="str">
        <f t="shared" si="36"/>
        <v>3. Better</v>
      </c>
    </row>
    <row r="369" spans="1:38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f t="shared" si="31"/>
        <v>0</v>
      </c>
      <c r="AH369" t="str">
        <f t="shared" si="32"/>
        <v>46-55</v>
      </c>
      <c r="AI369" t="str">
        <f t="shared" si="33"/>
        <v>4. 10K+</v>
      </c>
      <c r="AJ369" s="1" t="str">
        <f t="shared" si="34"/>
        <v>2. 2-5 yrs</v>
      </c>
      <c r="AK369" s="1" t="str">
        <f t="shared" si="35"/>
        <v>4. Very High</v>
      </c>
      <c r="AL369" s="1" t="str">
        <f t="shared" si="36"/>
        <v>3. Better</v>
      </c>
    </row>
    <row r="370" spans="1:38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f t="shared" si="31"/>
        <v>1</v>
      </c>
      <c r="AH370" t="str">
        <f t="shared" si="32"/>
        <v>36-45</v>
      </c>
      <c r="AI370" t="str">
        <f t="shared" si="33"/>
        <v>3. 6K-10K</v>
      </c>
      <c r="AJ370" s="1" t="str">
        <f t="shared" si="34"/>
        <v>3. 6-10 yrs</v>
      </c>
      <c r="AK370" s="1" t="str">
        <f t="shared" si="35"/>
        <v>3. High</v>
      </c>
      <c r="AL370" s="1" t="str">
        <f t="shared" si="36"/>
        <v>3. Better</v>
      </c>
    </row>
    <row r="371" spans="1:38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f t="shared" si="31"/>
        <v>0</v>
      </c>
      <c r="AH371" t="str">
        <f t="shared" si="32"/>
        <v>26-35</v>
      </c>
      <c r="AI371" t="str">
        <f t="shared" si="33"/>
        <v>1. Under 3K</v>
      </c>
      <c r="AJ371" s="1" t="str">
        <f t="shared" si="34"/>
        <v>2. 2-5 yrs</v>
      </c>
      <c r="AK371" s="1" t="str">
        <f t="shared" si="35"/>
        <v>2. Medium</v>
      </c>
      <c r="AL371" s="1" t="str">
        <f t="shared" si="36"/>
        <v>3. Better</v>
      </c>
    </row>
    <row r="372" spans="1:38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f t="shared" si="31"/>
        <v>1</v>
      </c>
      <c r="AH372" t="str">
        <f t="shared" si="32"/>
        <v>18-25</v>
      </c>
      <c r="AI372" t="str">
        <f t="shared" si="33"/>
        <v>1. Under 3K</v>
      </c>
      <c r="AJ372" s="1" t="str">
        <f t="shared" si="34"/>
        <v>1. 0-1 yrs</v>
      </c>
      <c r="AK372" s="1" t="str">
        <f t="shared" si="35"/>
        <v>2. Medium</v>
      </c>
      <c r="AL372" s="1" t="str">
        <f t="shared" si="36"/>
        <v>3. Better</v>
      </c>
    </row>
    <row r="373" spans="1:38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f t="shared" si="31"/>
        <v>0</v>
      </c>
      <c r="AH373" t="str">
        <f t="shared" si="32"/>
        <v>26-35</v>
      </c>
      <c r="AI373" t="str">
        <f t="shared" si="33"/>
        <v>1. Under 3K</v>
      </c>
      <c r="AJ373" s="1" t="str">
        <f t="shared" si="34"/>
        <v>2. 2-5 yrs</v>
      </c>
      <c r="AK373" s="1" t="str">
        <f t="shared" si="35"/>
        <v>4. Very High</v>
      </c>
      <c r="AL373" s="1" t="str">
        <f t="shared" si="36"/>
        <v>3. Better</v>
      </c>
    </row>
    <row r="374" spans="1:38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f t="shared" si="31"/>
        <v>0</v>
      </c>
      <c r="AH374" t="str">
        <f t="shared" si="32"/>
        <v>26-35</v>
      </c>
      <c r="AI374" t="str">
        <f t="shared" si="33"/>
        <v>3. 6K-10K</v>
      </c>
      <c r="AJ374" s="1" t="str">
        <f t="shared" si="34"/>
        <v>1. 0-1 yrs</v>
      </c>
      <c r="AK374" s="1" t="str">
        <f t="shared" si="35"/>
        <v>2. Medium</v>
      </c>
      <c r="AL374" s="1" t="str">
        <f t="shared" si="36"/>
        <v>3. Better</v>
      </c>
    </row>
    <row r="375" spans="1:38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f t="shared" si="31"/>
        <v>0</v>
      </c>
      <c r="AH375" t="str">
        <f t="shared" si="32"/>
        <v>26-35</v>
      </c>
      <c r="AI375" t="str">
        <f t="shared" si="33"/>
        <v>2. 3K-6K</v>
      </c>
      <c r="AJ375" s="1" t="str">
        <f t="shared" si="34"/>
        <v>2. 2-5 yrs</v>
      </c>
      <c r="AK375" s="1" t="str">
        <f t="shared" si="35"/>
        <v>2. Medium</v>
      </c>
      <c r="AL375" s="1" t="str">
        <f t="shared" si="36"/>
        <v>3. Better</v>
      </c>
    </row>
    <row r="376" spans="1:38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f t="shared" si="31"/>
        <v>0</v>
      </c>
      <c r="AH376" t="str">
        <f t="shared" si="32"/>
        <v>26-35</v>
      </c>
      <c r="AI376" t="str">
        <f t="shared" si="33"/>
        <v>2. 3K-6K</v>
      </c>
      <c r="AJ376" s="1" t="str">
        <f t="shared" si="34"/>
        <v>3. 6-10 yrs</v>
      </c>
      <c r="AK376" s="1" t="str">
        <f t="shared" si="35"/>
        <v>4. Very High</v>
      </c>
      <c r="AL376" s="1" t="str">
        <f t="shared" si="36"/>
        <v>3. Better</v>
      </c>
    </row>
    <row r="377" spans="1:38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f t="shared" si="31"/>
        <v>0</v>
      </c>
      <c r="AH377" t="str">
        <f t="shared" si="32"/>
        <v>46-55</v>
      </c>
      <c r="AI377" t="str">
        <f t="shared" si="33"/>
        <v>4. 10K+</v>
      </c>
      <c r="AJ377" s="1" t="str">
        <f t="shared" si="34"/>
        <v>2. 2-5 yrs</v>
      </c>
      <c r="AK377" s="1" t="str">
        <f t="shared" si="35"/>
        <v>3. High</v>
      </c>
      <c r="AL377" s="1" t="str">
        <f t="shared" si="36"/>
        <v>3. Better</v>
      </c>
    </row>
    <row r="378" spans="1:38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f t="shared" si="31"/>
        <v>0</v>
      </c>
      <c r="AH378" t="str">
        <f t="shared" si="32"/>
        <v>46-55</v>
      </c>
      <c r="AI378" t="str">
        <f t="shared" si="33"/>
        <v>2. 3K-6K</v>
      </c>
      <c r="AJ378" s="1" t="str">
        <f t="shared" si="34"/>
        <v>3. 6-10 yrs</v>
      </c>
      <c r="AK378" s="1" t="str">
        <f t="shared" si="35"/>
        <v>4. Very High</v>
      </c>
      <c r="AL378" s="1" t="str">
        <f t="shared" si="36"/>
        <v>2. Good</v>
      </c>
    </row>
    <row r="379" spans="1:38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f t="shared" si="31"/>
        <v>0</v>
      </c>
      <c r="AH379" t="str">
        <f t="shared" si="32"/>
        <v>36-45</v>
      </c>
      <c r="AI379" t="str">
        <f t="shared" si="33"/>
        <v>1. Under 3K</v>
      </c>
      <c r="AJ379" s="1" t="str">
        <f t="shared" si="34"/>
        <v>2. 2-5 yrs</v>
      </c>
      <c r="AK379" s="1" t="str">
        <f t="shared" si="35"/>
        <v>3. High</v>
      </c>
      <c r="AL379" s="1" t="str">
        <f t="shared" si="36"/>
        <v>3. Better</v>
      </c>
    </row>
    <row r="380" spans="1:38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f t="shared" si="31"/>
        <v>1</v>
      </c>
      <c r="AH380" t="str">
        <f t="shared" si="32"/>
        <v>26-35</v>
      </c>
      <c r="AI380" t="str">
        <f t="shared" si="33"/>
        <v>2. 3K-6K</v>
      </c>
      <c r="AJ380" s="1" t="str">
        <f t="shared" si="34"/>
        <v>2. 2-5 yrs</v>
      </c>
      <c r="AK380" s="1" t="str">
        <f t="shared" si="35"/>
        <v>4. Very High</v>
      </c>
      <c r="AL380" s="1" t="str">
        <f t="shared" si="36"/>
        <v>2. Good</v>
      </c>
    </row>
    <row r="381" spans="1:38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f t="shared" si="31"/>
        <v>0</v>
      </c>
      <c r="AH381" t="str">
        <f t="shared" si="32"/>
        <v>46-55</v>
      </c>
      <c r="AI381" t="str">
        <f t="shared" si="33"/>
        <v>4. 10K+</v>
      </c>
      <c r="AJ381" s="1" t="str">
        <f t="shared" si="34"/>
        <v>2. 2-5 yrs</v>
      </c>
      <c r="AK381" s="1" t="str">
        <f t="shared" si="35"/>
        <v>4. Very High</v>
      </c>
      <c r="AL381" s="1" t="str">
        <f t="shared" si="36"/>
        <v>3. Better</v>
      </c>
    </row>
    <row r="382" spans="1:38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f t="shared" si="31"/>
        <v>0</v>
      </c>
      <c r="AH382" t="str">
        <f t="shared" si="32"/>
        <v>18-25</v>
      </c>
      <c r="AI382" t="str">
        <f t="shared" si="33"/>
        <v>2. 3K-6K</v>
      </c>
      <c r="AJ382" s="1" t="str">
        <f t="shared" si="34"/>
        <v>2. 2-5 yrs</v>
      </c>
      <c r="AK382" s="1" t="str">
        <f t="shared" si="35"/>
        <v>3. High</v>
      </c>
      <c r="AL382" s="1" t="str">
        <f t="shared" si="36"/>
        <v>4. Best</v>
      </c>
    </row>
    <row r="383" spans="1:38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f t="shared" si="31"/>
        <v>0</v>
      </c>
      <c r="AH383" t="str">
        <f t="shared" si="32"/>
        <v>26-35</v>
      </c>
      <c r="AI383" t="str">
        <f t="shared" si="33"/>
        <v>1. Under 3K</v>
      </c>
      <c r="AJ383" s="1" t="str">
        <f t="shared" si="34"/>
        <v>1. 0-1 yrs</v>
      </c>
      <c r="AK383" s="1" t="str">
        <f t="shared" si="35"/>
        <v>2. Medium</v>
      </c>
      <c r="AL383" s="1" t="str">
        <f t="shared" si="36"/>
        <v>3. Better</v>
      </c>
    </row>
    <row r="384" spans="1:38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f t="shared" si="31"/>
        <v>1</v>
      </c>
      <c r="AH384" t="str">
        <f t="shared" si="32"/>
        <v>26-35</v>
      </c>
      <c r="AI384" t="str">
        <f t="shared" si="33"/>
        <v>2. 3K-6K</v>
      </c>
      <c r="AJ384" s="1" t="str">
        <f t="shared" si="34"/>
        <v>3. 6-10 yrs</v>
      </c>
      <c r="AK384" s="1" t="str">
        <f t="shared" si="35"/>
        <v>1. Low</v>
      </c>
      <c r="AL384" s="1" t="str">
        <f t="shared" si="36"/>
        <v>3. Better</v>
      </c>
    </row>
    <row r="385" spans="1:38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f t="shared" si="31"/>
        <v>0</v>
      </c>
      <c r="AH385" t="str">
        <f t="shared" si="32"/>
        <v>18-25</v>
      </c>
      <c r="AI385" t="str">
        <f t="shared" si="33"/>
        <v>1. Under 3K</v>
      </c>
      <c r="AJ385" s="1" t="str">
        <f t="shared" si="34"/>
        <v>2. 2-5 yrs</v>
      </c>
      <c r="AK385" s="1" t="str">
        <f t="shared" si="35"/>
        <v>2. Medium</v>
      </c>
      <c r="AL385" s="1" t="str">
        <f t="shared" si="36"/>
        <v>3. Better</v>
      </c>
    </row>
    <row r="386" spans="1:38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f t="shared" ref="AG386:AG449" si="37">IF(B386="Yes",1,0)</f>
        <v>0</v>
      </c>
      <c r="AH386" t="str">
        <f t="shared" ref="AH386:AH449" si="38">IF(A386&lt;26,"18-25",IF(A386&lt;36,"26-35",IF(A386&lt;46,"36-45",IF(A386&lt;56,"46-55","56+"))))</f>
        <v>36-45</v>
      </c>
      <c r="AI386" t="str">
        <f t="shared" ref="AI386:AI449" si="39">IF(R386&lt;3000,"1. Under 3K",IF(R386&lt;6000,"2. 3K-6K",IF(R386&lt;10000,"3. 6K-10K","4. 10K+")))</f>
        <v>3. 6K-10K</v>
      </c>
      <c r="AJ386" s="1" t="str">
        <f t="shared" ref="AJ386:AJ449" si="40">IF(AC386&lt;2,"1. 0-1 yrs",IF(AC386&lt;6,"2. 2-5 yrs",IF(AC386&lt;11,"3. 6-10 yrs","4. 10+ yrs")))</f>
        <v>3. 6-10 yrs</v>
      </c>
      <c r="AK386" s="1" t="str">
        <f t="shared" ref="AK386:AK449" si="41">CHOOSE(P386,"1. Low","2. Medium","3. High","4. Very High")</f>
        <v>3. High</v>
      </c>
      <c r="AL386" s="1" t="str">
        <f t="shared" ref="AL386:AL449" si="42">CHOOSE(AB386,"1. Bad","2. Good","3. Better","4. Best")</f>
        <v>3. Better</v>
      </c>
    </row>
    <row r="387" spans="1:38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f t="shared" si="37"/>
        <v>1</v>
      </c>
      <c r="AH387" t="str">
        <f t="shared" si="38"/>
        <v>26-35</v>
      </c>
      <c r="AI387" t="str">
        <f t="shared" si="39"/>
        <v>1. Under 3K</v>
      </c>
      <c r="AJ387" s="1" t="str">
        <f t="shared" si="40"/>
        <v>1. 0-1 yrs</v>
      </c>
      <c r="AK387" s="1" t="str">
        <f t="shared" si="41"/>
        <v>4. Very High</v>
      </c>
      <c r="AL387" s="1" t="str">
        <f t="shared" si="42"/>
        <v>3. Better</v>
      </c>
    </row>
    <row r="388" spans="1:38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f t="shared" si="37"/>
        <v>0</v>
      </c>
      <c r="AH388" t="str">
        <f t="shared" si="38"/>
        <v>36-45</v>
      </c>
      <c r="AI388" t="str">
        <f t="shared" si="39"/>
        <v>2. 3K-6K</v>
      </c>
      <c r="AJ388" s="1" t="str">
        <f t="shared" si="40"/>
        <v>4. 10+ yrs</v>
      </c>
      <c r="AK388" s="1" t="str">
        <f t="shared" si="41"/>
        <v>1. Low</v>
      </c>
      <c r="AL388" s="1" t="str">
        <f t="shared" si="42"/>
        <v>2. Good</v>
      </c>
    </row>
    <row r="389" spans="1:38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f t="shared" si="37"/>
        <v>0</v>
      </c>
      <c r="AH389" t="str">
        <f t="shared" si="38"/>
        <v>36-45</v>
      </c>
      <c r="AI389" t="str">
        <f t="shared" si="39"/>
        <v>2. 3K-6K</v>
      </c>
      <c r="AJ389" s="1" t="str">
        <f t="shared" si="40"/>
        <v>2. 2-5 yrs</v>
      </c>
      <c r="AK389" s="1" t="str">
        <f t="shared" si="41"/>
        <v>2. Medium</v>
      </c>
      <c r="AL389" s="1" t="str">
        <f t="shared" si="42"/>
        <v>3. Better</v>
      </c>
    </row>
    <row r="390" spans="1:38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f t="shared" si="37"/>
        <v>0</v>
      </c>
      <c r="AH390" t="str">
        <f t="shared" si="38"/>
        <v>36-45</v>
      </c>
      <c r="AI390" t="str">
        <f t="shared" si="39"/>
        <v>1. Under 3K</v>
      </c>
      <c r="AJ390" s="1" t="str">
        <f t="shared" si="40"/>
        <v>2. 2-5 yrs</v>
      </c>
      <c r="AK390" s="1" t="str">
        <f t="shared" si="41"/>
        <v>1. Low</v>
      </c>
      <c r="AL390" s="1" t="str">
        <f t="shared" si="42"/>
        <v>3. Better</v>
      </c>
    </row>
    <row r="391" spans="1:38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f t="shared" si="37"/>
        <v>0</v>
      </c>
      <c r="AH391" t="str">
        <f t="shared" si="38"/>
        <v>36-45</v>
      </c>
      <c r="AI391" t="str">
        <f t="shared" si="39"/>
        <v>2. 3K-6K</v>
      </c>
      <c r="AJ391" s="1" t="str">
        <f t="shared" si="40"/>
        <v>1. 0-1 yrs</v>
      </c>
      <c r="AK391" s="1" t="str">
        <f t="shared" si="41"/>
        <v>2. Medium</v>
      </c>
      <c r="AL391" s="1" t="str">
        <f t="shared" si="42"/>
        <v>2. Good</v>
      </c>
    </row>
    <row r="392" spans="1:38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f t="shared" si="37"/>
        <v>0</v>
      </c>
      <c r="AH392" t="str">
        <f t="shared" si="38"/>
        <v>36-45</v>
      </c>
      <c r="AI392" t="str">
        <f t="shared" si="39"/>
        <v>4. 10K+</v>
      </c>
      <c r="AJ392" s="1" t="str">
        <f t="shared" si="40"/>
        <v>4. 10+ yrs</v>
      </c>
      <c r="AK392" s="1" t="str">
        <f t="shared" si="41"/>
        <v>2. Medium</v>
      </c>
      <c r="AL392" s="1" t="str">
        <f t="shared" si="42"/>
        <v>3. Better</v>
      </c>
    </row>
    <row r="393" spans="1:38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f t="shared" si="37"/>
        <v>0</v>
      </c>
      <c r="AH393" t="str">
        <f t="shared" si="38"/>
        <v>36-45</v>
      </c>
      <c r="AI393" t="str">
        <f t="shared" si="39"/>
        <v>2. 3K-6K</v>
      </c>
      <c r="AJ393" s="1" t="str">
        <f t="shared" si="40"/>
        <v>1. 0-1 yrs</v>
      </c>
      <c r="AK393" s="1" t="str">
        <f t="shared" si="41"/>
        <v>3. High</v>
      </c>
      <c r="AL393" s="1" t="str">
        <f t="shared" si="42"/>
        <v>3. Better</v>
      </c>
    </row>
    <row r="394" spans="1:38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f t="shared" si="37"/>
        <v>0</v>
      </c>
      <c r="AH394" t="str">
        <f t="shared" si="38"/>
        <v>46-55</v>
      </c>
      <c r="AI394" t="str">
        <f t="shared" si="39"/>
        <v>4. 10K+</v>
      </c>
      <c r="AJ394" s="1" t="str">
        <f t="shared" si="40"/>
        <v>2. 2-5 yrs</v>
      </c>
      <c r="AK394" s="1" t="str">
        <f t="shared" si="41"/>
        <v>1. Low</v>
      </c>
      <c r="AL394" s="1" t="str">
        <f t="shared" si="42"/>
        <v>2. Good</v>
      </c>
    </row>
    <row r="395" spans="1:38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f t="shared" si="37"/>
        <v>0</v>
      </c>
      <c r="AH395" t="str">
        <f t="shared" si="38"/>
        <v>26-35</v>
      </c>
      <c r="AI395" t="str">
        <f t="shared" si="39"/>
        <v>3. 6K-10K</v>
      </c>
      <c r="AJ395" s="1" t="str">
        <f t="shared" si="40"/>
        <v>2. 2-5 yrs</v>
      </c>
      <c r="AK395" s="1" t="str">
        <f t="shared" si="41"/>
        <v>3. High</v>
      </c>
      <c r="AL395" s="1" t="str">
        <f t="shared" si="42"/>
        <v>3. Better</v>
      </c>
    </row>
    <row r="396" spans="1:38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f t="shared" si="37"/>
        <v>0</v>
      </c>
      <c r="AH396" t="str">
        <f t="shared" si="38"/>
        <v>26-35</v>
      </c>
      <c r="AI396" t="str">
        <f t="shared" si="39"/>
        <v>2. 3K-6K</v>
      </c>
      <c r="AJ396" s="1" t="str">
        <f t="shared" si="40"/>
        <v>4. 10+ yrs</v>
      </c>
      <c r="AK396" s="1" t="str">
        <f t="shared" si="41"/>
        <v>1. Low</v>
      </c>
      <c r="AL396" s="1" t="str">
        <f t="shared" si="42"/>
        <v>1. Bad</v>
      </c>
    </row>
    <row r="397" spans="1:38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f t="shared" si="37"/>
        <v>0</v>
      </c>
      <c r="AH397" t="str">
        <f t="shared" si="38"/>
        <v>36-45</v>
      </c>
      <c r="AI397" t="str">
        <f t="shared" si="39"/>
        <v>1. Under 3K</v>
      </c>
      <c r="AJ397" s="1" t="str">
        <f t="shared" si="40"/>
        <v>2. 2-5 yrs</v>
      </c>
      <c r="AK397" s="1" t="str">
        <f t="shared" si="41"/>
        <v>4. Very High</v>
      </c>
      <c r="AL397" s="1" t="str">
        <f t="shared" si="42"/>
        <v>3. Better</v>
      </c>
    </row>
    <row r="398" spans="1:38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f t="shared" si="37"/>
        <v>0</v>
      </c>
      <c r="AH398" t="str">
        <f t="shared" si="38"/>
        <v>36-45</v>
      </c>
      <c r="AI398" t="str">
        <f t="shared" si="39"/>
        <v>2. 3K-6K</v>
      </c>
      <c r="AJ398" s="1" t="str">
        <f t="shared" si="40"/>
        <v>2. 2-5 yrs</v>
      </c>
      <c r="AK398" s="1" t="str">
        <f t="shared" si="41"/>
        <v>3. High</v>
      </c>
      <c r="AL398" s="1" t="str">
        <f t="shared" si="42"/>
        <v>3. Better</v>
      </c>
    </row>
    <row r="399" spans="1:38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f t="shared" si="37"/>
        <v>0</v>
      </c>
      <c r="AH399" t="str">
        <f t="shared" si="38"/>
        <v>18-25</v>
      </c>
      <c r="AI399" t="str">
        <f t="shared" si="39"/>
        <v>2. 3K-6K</v>
      </c>
      <c r="AJ399" s="1" t="str">
        <f t="shared" si="40"/>
        <v>2. 2-5 yrs</v>
      </c>
      <c r="AK399" s="1" t="str">
        <f t="shared" si="41"/>
        <v>4. Very High</v>
      </c>
      <c r="AL399" s="1" t="str">
        <f t="shared" si="42"/>
        <v>3. Better</v>
      </c>
    </row>
    <row r="400" spans="1:38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f t="shared" si="37"/>
        <v>0</v>
      </c>
      <c r="AH400" t="str">
        <f t="shared" si="38"/>
        <v>36-45</v>
      </c>
      <c r="AI400" t="str">
        <f t="shared" si="39"/>
        <v>2. 3K-6K</v>
      </c>
      <c r="AJ400" s="1" t="str">
        <f t="shared" si="40"/>
        <v>4. 10+ yrs</v>
      </c>
      <c r="AK400" s="1" t="str">
        <f t="shared" si="41"/>
        <v>3. High</v>
      </c>
      <c r="AL400" s="1" t="str">
        <f t="shared" si="42"/>
        <v>3. Better</v>
      </c>
    </row>
    <row r="401" spans="1:38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f t="shared" si="37"/>
        <v>0</v>
      </c>
      <c r="AH401" t="str">
        <f t="shared" si="38"/>
        <v>26-35</v>
      </c>
      <c r="AI401" t="str">
        <f t="shared" si="39"/>
        <v>1. Under 3K</v>
      </c>
      <c r="AJ401" s="1" t="str">
        <f t="shared" si="40"/>
        <v>2. 2-5 yrs</v>
      </c>
      <c r="AK401" s="1" t="str">
        <f t="shared" si="41"/>
        <v>1. Low</v>
      </c>
      <c r="AL401" s="1" t="str">
        <f t="shared" si="42"/>
        <v>3. Better</v>
      </c>
    </row>
    <row r="402" spans="1:38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f t="shared" si="37"/>
        <v>0</v>
      </c>
      <c r="AH402" t="str">
        <f t="shared" si="38"/>
        <v>36-45</v>
      </c>
      <c r="AI402" t="str">
        <f t="shared" si="39"/>
        <v>4. 10K+</v>
      </c>
      <c r="AJ402" s="1" t="str">
        <f t="shared" si="40"/>
        <v>4. 10+ yrs</v>
      </c>
      <c r="AK402" s="1" t="str">
        <f t="shared" si="41"/>
        <v>3. High</v>
      </c>
      <c r="AL402" s="1" t="str">
        <f t="shared" si="42"/>
        <v>3. Better</v>
      </c>
    </row>
    <row r="403" spans="1:38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f t="shared" si="37"/>
        <v>0</v>
      </c>
      <c r="AH403" t="str">
        <f t="shared" si="38"/>
        <v>56+</v>
      </c>
      <c r="AI403" t="str">
        <f t="shared" si="39"/>
        <v>4. 10K+</v>
      </c>
      <c r="AJ403" s="1" t="str">
        <f t="shared" si="40"/>
        <v>3. 6-10 yrs</v>
      </c>
      <c r="AK403" s="1" t="str">
        <f t="shared" si="41"/>
        <v>1. Low</v>
      </c>
      <c r="AL403" s="1" t="str">
        <f t="shared" si="42"/>
        <v>2. Good</v>
      </c>
    </row>
    <row r="404" spans="1:38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f t="shared" si="37"/>
        <v>0</v>
      </c>
      <c r="AH404" t="str">
        <f t="shared" si="38"/>
        <v>26-35</v>
      </c>
      <c r="AI404" t="str">
        <f t="shared" si="39"/>
        <v>3. 6K-10K</v>
      </c>
      <c r="AJ404" s="1" t="str">
        <f t="shared" si="40"/>
        <v>2. 2-5 yrs</v>
      </c>
      <c r="AK404" s="1" t="str">
        <f t="shared" si="41"/>
        <v>3. High</v>
      </c>
      <c r="AL404" s="1" t="str">
        <f t="shared" si="42"/>
        <v>3. Better</v>
      </c>
    </row>
    <row r="405" spans="1:38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f t="shared" si="37"/>
        <v>0</v>
      </c>
      <c r="AH405" t="str">
        <f t="shared" si="38"/>
        <v>36-45</v>
      </c>
      <c r="AI405" t="str">
        <f t="shared" si="39"/>
        <v>3. 6K-10K</v>
      </c>
      <c r="AJ405" s="1" t="str">
        <f t="shared" si="40"/>
        <v>3. 6-10 yrs</v>
      </c>
      <c r="AK405" s="1" t="str">
        <f t="shared" si="41"/>
        <v>1. Low</v>
      </c>
      <c r="AL405" s="1" t="str">
        <f t="shared" si="42"/>
        <v>3. Better</v>
      </c>
    </row>
    <row r="406" spans="1:38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f t="shared" si="37"/>
        <v>0</v>
      </c>
      <c r="AH406" t="str">
        <f t="shared" si="38"/>
        <v>26-35</v>
      </c>
      <c r="AI406" t="str">
        <f t="shared" si="39"/>
        <v>2. 3K-6K</v>
      </c>
      <c r="AJ406" s="1" t="str">
        <f t="shared" si="40"/>
        <v>3. 6-10 yrs</v>
      </c>
      <c r="AK406" s="1" t="str">
        <f t="shared" si="41"/>
        <v>1. Low</v>
      </c>
      <c r="AL406" s="1" t="str">
        <f t="shared" si="42"/>
        <v>3. Better</v>
      </c>
    </row>
    <row r="407" spans="1:38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f t="shared" si="37"/>
        <v>1</v>
      </c>
      <c r="AH407" t="str">
        <f t="shared" si="38"/>
        <v>18-25</v>
      </c>
      <c r="AI407" t="str">
        <f t="shared" si="39"/>
        <v>2. 3K-6K</v>
      </c>
      <c r="AJ407" s="1" t="str">
        <f t="shared" si="40"/>
        <v>2. 2-5 yrs</v>
      </c>
      <c r="AK407" s="1" t="str">
        <f t="shared" si="41"/>
        <v>1. Low</v>
      </c>
      <c r="AL407" s="1" t="str">
        <f t="shared" si="42"/>
        <v>3. Better</v>
      </c>
    </row>
    <row r="408" spans="1:38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f t="shared" si="37"/>
        <v>0</v>
      </c>
      <c r="AH408" t="str">
        <f t="shared" si="38"/>
        <v>46-55</v>
      </c>
      <c r="AI408" t="str">
        <f t="shared" si="39"/>
        <v>3. 6K-10K</v>
      </c>
      <c r="AJ408" s="1" t="str">
        <f t="shared" si="40"/>
        <v>2. 2-5 yrs</v>
      </c>
      <c r="AK408" s="1" t="str">
        <f t="shared" si="41"/>
        <v>3. High</v>
      </c>
      <c r="AL408" s="1" t="str">
        <f t="shared" si="42"/>
        <v>3. Better</v>
      </c>
    </row>
    <row r="409" spans="1:38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f t="shared" si="37"/>
        <v>0</v>
      </c>
      <c r="AH409" t="str">
        <f t="shared" si="38"/>
        <v>36-45</v>
      </c>
      <c r="AI409" t="str">
        <f t="shared" si="39"/>
        <v>1. Under 3K</v>
      </c>
      <c r="AJ409" s="1" t="str">
        <f t="shared" si="40"/>
        <v>2. 2-5 yrs</v>
      </c>
      <c r="AK409" s="1" t="str">
        <f t="shared" si="41"/>
        <v>4. Very High</v>
      </c>
      <c r="AL409" s="1" t="str">
        <f t="shared" si="42"/>
        <v>2. Good</v>
      </c>
    </row>
    <row r="410" spans="1:38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f t="shared" si="37"/>
        <v>0</v>
      </c>
      <c r="AH410" t="str">
        <f t="shared" si="38"/>
        <v>46-55</v>
      </c>
      <c r="AI410" t="str">
        <f t="shared" si="39"/>
        <v>4. 10K+</v>
      </c>
      <c r="AJ410" s="1" t="str">
        <f t="shared" si="40"/>
        <v>2. 2-5 yrs</v>
      </c>
      <c r="AK410" s="1" t="str">
        <f t="shared" si="41"/>
        <v>4. Very High</v>
      </c>
      <c r="AL410" s="1" t="str">
        <f t="shared" si="42"/>
        <v>1. Bad</v>
      </c>
    </row>
    <row r="411" spans="1:38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f t="shared" si="37"/>
        <v>0</v>
      </c>
      <c r="AH411" t="str">
        <f t="shared" si="38"/>
        <v>36-45</v>
      </c>
      <c r="AI411" t="str">
        <f t="shared" si="39"/>
        <v>2. 3K-6K</v>
      </c>
      <c r="AJ411" s="1" t="str">
        <f t="shared" si="40"/>
        <v>2. 2-5 yrs</v>
      </c>
      <c r="AK411" s="1" t="str">
        <f t="shared" si="41"/>
        <v>3. High</v>
      </c>
      <c r="AL411" s="1" t="str">
        <f t="shared" si="42"/>
        <v>3. Better</v>
      </c>
    </row>
    <row r="412" spans="1:38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f t="shared" si="37"/>
        <v>0</v>
      </c>
      <c r="AH412" t="str">
        <f t="shared" si="38"/>
        <v>26-35</v>
      </c>
      <c r="AI412" t="str">
        <f t="shared" si="39"/>
        <v>3. 6K-10K</v>
      </c>
      <c r="AJ412" s="1" t="str">
        <f t="shared" si="40"/>
        <v>2. 2-5 yrs</v>
      </c>
      <c r="AK412" s="1" t="str">
        <f t="shared" si="41"/>
        <v>4. Very High</v>
      </c>
      <c r="AL412" s="1" t="str">
        <f t="shared" si="42"/>
        <v>3. Better</v>
      </c>
    </row>
    <row r="413" spans="1:38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f t="shared" si="37"/>
        <v>0</v>
      </c>
      <c r="AH413" t="str">
        <f t="shared" si="38"/>
        <v>56+</v>
      </c>
      <c r="AI413" t="str">
        <f t="shared" si="39"/>
        <v>4. 10K+</v>
      </c>
      <c r="AJ413" s="1" t="str">
        <f t="shared" si="40"/>
        <v>4. 10+ yrs</v>
      </c>
      <c r="AK413" s="1" t="str">
        <f t="shared" si="41"/>
        <v>1. Low</v>
      </c>
      <c r="AL413" s="1" t="str">
        <f t="shared" si="42"/>
        <v>1. Bad</v>
      </c>
    </row>
    <row r="414" spans="1:38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f t="shared" si="37"/>
        <v>0</v>
      </c>
      <c r="AH414" t="str">
        <f t="shared" si="38"/>
        <v>46-55</v>
      </c>
      <c r="AI414" t="str">
        <f t="shared" si="39"/>
        <v>2. 3K-6K</v>
      </c>
      <c r="AJ414" s="1" t="str">
        <f t="shared" si="40"/>
        <v>3. 6-10 yrs</v>
      </c>
      <c r="AK414" s="1" t="str">
        <f t="shared" si="41"/>
        <v>3. High</v>
      </c>
      <c r="AL414" s="1" t="str">
        <f t="shared" si="42"/>
        <v>2. Good</v>
      </c>
    </row>
    <row r="415" spans="1:38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f t="shared" si="37"/>
        <v>0</v>
      </c>
      <c r="AH415" t="str">
        <f t="shared" si="38"/>
        <v>36-45</v>
      </c>
      <c r="AI415" t="str">
        <f t="shared" si="39"/>
        <v>2. 3K-6K</v>
      </c>
      <c r="AJ415" s="1" t="str">
        <f t="shared" si="40"/>
        <v>3. 6-10 yrs</v>
      </c>
      <c r="AK415" s="1" t="str">
        <f t="shared" si="41"/>
        <v>4. Very High</v>
      </c>
      <c r="AL415" s="1" t="str">
        <f t="shared" si="42"/>
        <v>4. Best</v>
      </c>
    </row>
    <row r="416" spans="1:38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f t="shared" si="37"/>
        <v>1</v>
      </c>
      <c r="AH416" t="str">
        <f t="shared" si="38"/>
        <v>18-25</v>
      </c>
      <c r="AI416" t="str">
        <f t="shared" si="39"/>
        <v>2. 3K-6K</v>
      </c>
      <c r="AJ416" s="1" t="str">
        <f t="shared" si="40"/>
        <v>2. 2-5 yrs</v>
      </c>
      <c r="AK416" s="1" t="str">
        <f t="shared" si="41"/>
        <v>2. Medium</v>
      </c>
      <c r="AL416" s="1" t="str">
        <f t="shared" si="42"/>
        <v>3. Better</v>
      </c>
    </row>
    <row r="417" spans="1:38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f t="shared" si="37"/>
        <v>1</v>
      </c>
      <c r="AH417" t="str">
        <f t="shared" si="38"/>
        <v>26-35</v>
      </c>
      <c r="AI417" t="str">
        <f t="shared" si="39"/>
        <v>1. Under 3K</v>
      </c>
      <c r="AJ417" s="1" t="str">
        <f t="shared" si="40"/>
        <v>2. 2-5 yrs</v>
      </c>
      <c r="AK417" s="1" t="str">
        <f t="shared" si="41"/>
        <v>3. High</v>
      </c>
      <c r="AL417" s="1" t="str">
        <f t="shared" si="42"/>
        <v>2. Good</v>
      </c>
    </row>
    <row r="418" spans="1:38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f t="shared" si="37"/>
        <v>0</v>
      </c>
      <c r="AH418" t="str">
        <f t="shared" si="38"/>
        <v>36-45</v>
      </c>
      <c r="AI418" t="str">
        <f t="shared" si="39"/>
        <v>1. Under 3K</v>
      </c>
      <c r="AJ418" s="1" t="str">
        <f t="shared" si="40"/>
        <v>1. 0-1 yrs</v>
      </c>
      <c r="AK418" s="1" t="str">
        <f t="shared" si="41"/>
        <v>4. Very High</v>
      </c>
      <c r="AL418" s="1" t="str">
        <f t="shared" si="42"/>
        <v>3. Better</v>
      </c>
    </row>
    <row r="419" spans="1:38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f t="shared" si="37"/>
        <v>0</v>
      </c>
      <c r="AH419" t="str">
        <f t="shared" si="38"/>
        <v>36-45</v>
      </c>
      <c r="AI419" t="str">
        <f t="shared" si="39"/>
        <v>4. 10K+</v>
      </c>
      <c r="AJ419" s="1" t="str">
        <f t="shared" si="40"/>
        <v>4. 10+ yrs</v>
      </c>
      <c r="AK419" s="1" t="str">
        <f t="shared" si="41"/>
        <v>3. High</v>
      </c>
      <c r="AL419" s="1" t="str">
        <f t="shared" si="42"/>
        <v>3. Better</v>
      </c>
    </row>
    <row r="420" spans="1:38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f t="shared" si="37"/>
        <v>0</v>
      </c>
      <c r="AH420" t="str">
        <f t="shared" si="38"/>
        <v>26-35</v>
      </c>
      <c r="AI420" t="str">
        <f t="shared" si="39"/>
        <v>1. Under 3K</v>
      </c>
      <c r="AJ420" s="1" t="str">
        <f t="shared" si="40"/>
        <v>2. 2-5 yrs</v>
      </c>
      <c r="AK420" s="1" t="str">
        <f t="shared" si="41"/>
        <v>4. Very High</v>
      </c>
      <c r="AL420" s="1" t="str">
        <f t="shared" si="42"/>
        <v>1. Bad</v>
      </c>
    </row>
    <row r="421" spans="1:38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f t="shared" si="37"/>
        <v>0</v>
      </c>
      <c r="AH421" t="str">
        <f t="shared" si="38"/>
        <v>26-35</v>
      </c>
      <c r="AI421" t="str">
        <f t="shared" si="39"/>
        <v>1. Under 3K</v>
      </c>
      <c r="AJ421" s="1" t="str">
        <f t="shared" si="40"/>
        <v>2. 2-5 yrs</v>
      </c>
      <c r="AK421" s="1" t="str">
        <f t="shared" si="41"/>
        <v>4. Very High</v>
      </c>
      <c r="AL421" s="1" t="str">
        <f t="shared" si="42"/>
        <v>1. Bad</v>
      </c>
    </row>
    <row r="422" spans="1:38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f t="shared" si="37"/>
        <v>0</v>
      </c>
      <c r="AH422" t="str">
        <f t="shared" si="38"/>
        <v>26-35</v>
      </c>
      <c r="AI422" t="str">
        <f t="shared" si="39"/>
        <v>4. 10K+</v>
      </c>
      <c r="AJ422" s="1" t="str">
        <f t="shared" si="40"/>
        <v>3. 6-10 yrs</v>
      </c>
      <c r="AK422" s="1" t="str">
        <f t="shared" si="41"/>
        <v>3. High</v>
      </c>
      <c r="AL422" s="1" t="str">
        <f t="shared" si="42"/>
        <v>3. Better</v>
      </c>
    </row>
    <row r="423" spans="1:38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f t="shared" si="37"/>
        <v>1</v>
      </c>
      <c r="AH423" t="str">
        <f t="shared" si="38"/>
        <v>26-35</v>
      </c>
      <c r="AI423" t="str">
        <f t="shared" si="39"/>
        <v>1. Under 3K</v>
      </c>
      <c r="AJ423" s="1" t="str">
        <f t="shared" si="40"/>
        <v>2. 2-5 yrs</v>
      </c>
      <c r="AK423" s="1" t="str">
        <f t="shared" si="41"/>
        <v>2. Medium</v>
      </c>
      <c r="AL423" s="1" t="str">
        <f t="shared" si="42"/>
        <v>4. Best</v>
      </c>
    </row>
    <row r="424" spans="1:38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f t="shared" si="37"/>
        <v>1</v>
      </c>
      <c r="AH424" t="str">
        <f t="shared" si="38"/>
        <v>18-25</v>
      </c>
      <c r="AI424" t="str">
        <f t="shared" si="39"/>
        <v>1. Under 3K</v>
      </c>
      <c r="AJ424" s="1" t="str">
        <f t="shared" si="40"/>
        <v>1. 0-1 yrs</v>
      </c>
      <c r="AK424" s="1" t="str">
        <f t="shared" si="41"/>
        <v>4. Very High</v>
      </c>
      <c r="AL424" s="1" t="str">
        <f t="shared" si="42"/>
        <v>4. Best</v>
      </c>
    </row>
    <row r="425" spans="1:38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f t="shared" si="37"/>
        <v>0</v>
      </c>
      <c r="AH425" t="str">
        <f t="shared" si="38"/>
        <v>26-35</v>
      </c>
      <c r="AI425" t="str">
        <f t="shared" si="39"/>
        <v>3. 6K-10K</v>
      </c>
      <c r="AJ425" s="1" t="str">
        <f t="shared" si="40"/>
        <v>3. 6-10 yrs</v>
      </c>
      <c r="AK425" s="1" t="str">
        <f t="shared" si="41"/>
        <v>1. Low</v>
      </c>
      <c r="AL425" s="1" t="str">
        <f t="shared" si="42"/>
        <v>3. Better</v>
      </c>
    </row>
    <row r="426" spans="1:38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f t="shared" si="37"/>
        <v>0</v>
      </c>
      <c r="AH426" t="str">
        <f t="shared" si="38"/>
        <v>56+</v>
      </c>
      <c r="AI426" t="str">
        <f t="shared" si="39"/>
        <v>4. 10K+</v>
      </c>
      <c r="AJ426" s="1" t="str">
        <f t="shared" si="40"/>
        <v>1. 0-1 yrs</v>
      </c>
      <c r="AK426" s="1" t="str">
        <f t="shared" si="41"/>
        <v>4. Very High</v>
      </c>
      <c r="AL426" s="1" t="str">
        <f t="shared" si="42"/>
        <v>2. Good</v>
      </c>
    </row>
    <row r="427" spans="1:38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f t="shared" si="37"/>
        <v>0</v>
      </c>
      <c r="AH427" t="str">
        <f t="shared" si="38"/>
        <v>46-55</v>
      </c>
      <c r="AI427" t="str">
        <f t="shared" si="39"/>
        <v>4. 10K+</v>
      </c>
      <c r="AJ427" s="1" t="str">
        <f t="shared" si="40"/>
        <v>4. 10+ yrs</v>
      </c>
      <c r="AK427" s="1" t="str">
        <f t="shared" si="41"/>
        <v>3. High</v>
      </c>
      <c r="AL427" s="1" t="str">
        <f t="shared" si="42"/>
        <v>3. Better</v>
      </c>
    </row>
    <row r="428" spans="1:38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f t="shared" si="37"/>
        <v>0</v>
      </c>
      <c r="AH428" t="str">
        <f t="shared" si="38"/>
        <v>26-35</v>
      </c>
      <c r="AI428" t="str">
        <f t="shared" si="39"/>
        <v>1. Under 3K</v>
      </c>
      <c r="AJ428" s="1" t="str">
        <f t="shared" si="40"/>
        <v>4. 10+ yrs</v>
      </c>
      <c r="AK428" s="1" t="str">
        <f t="shared" si="41"/>
        <v>4. Very High</v>
      </c>
      <c r="AL428" s="1" t="str">
        <f t="shared" si="42"/>
        <v>2. Good</v>
      </c>
    </row>
    <row r="429" spans="1:38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f t="shared" si="37"/>
        <v>0</v>
      </c>
      <c r="AH429" t="str">
        <f t="shared" si="38"/>
        <v>56+</v>
      </c>
      <c r="AI429" t="str">
        <f t="shared" si="39"/>
        <v>4. 10K+</v>
      </c>
      <c r="AJ429" s="1" t="str">
        <f t="shared" si="40"/>
        <v>4. 10+ yrs</v>
      </c>
      <c r="AK429" s="1" t="str">
        <f t="shared" si="41"/>
        <v>1. Low</v>
      </c>
      <c r="AL429" s="1" t="str">
        <f t="shared" si="42"/>
        <v>4. Best</v>
      </c>
    </row>
    <row r="430" spans="1:38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f t="shared" si="37"/>
        <v>0</v>
      </c>
      <c r="AH430" t="str">
        <f t="shared" si="38"/>
        <v>46-55</v>
      </c>
      <c r="AI430" t="str">
        <f t="shared" si="39"/>
        <v>2. 3K-6K</v>
      </c>
      <c r="AJ430" s="1" t="str">
        <f t="shared" si="40"/>
        <v>2. 2-5 yrs</v>
      </c>
      <c r="AK430" s="1" t="str">
        <f t="shared" si="41"/>
        <v>4. Very High</v>
      </c>
      <c r="AL430" s="1" t="str">
        <f t="shared" si="42"/>
        <v>3. Better</v>
      </c>
    </row>
    <row r="431" spans="1:38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f t="shared" si="37"/>
        <v>0</v>
      </c>
      <c r="AH431" t="str">
        <f t="shared" si="38"/>
        <v>46-55</v>
      </c>
      <c r="AI431" t="str">
        <f t="shared" si="39"/>
        <v>4. 10K+</v>
      </c>
      <c r="AJ431" s="1" t="str">
        <f t="shared" si="40"/>
        <v>2. 2-5 yrs</v>
      </c>
      <c r="AK431" s="1" t="str">
        <f t="shared" si="41"/>
        <v>3. High</v>
      </c>
      <c r="AL431" s="1" t="str">
        <f t="shared" si="42"/>
        <v>1. Bad</v>
      </c>
    </row>
    <row r="432" spans="1:38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f t="shared" si="37"/>
        <v>0</v>
      </c>
      <c r="AH432" t="str">
        <f t="shared" si="38"/>
        <v>26-35</v>
      </c>
      <c r="AI432" t="str">
        <f t="shared" si="39"/>
        <v>2. 3K-6K</v>
      </c>
      <c r="AJ432" s="1" t="str">
        <f t="shared" si="40"/>
        <v>2. 2-5 yrs</v>
      </c>
      <c r="AK432" s="1" t="str">
        <f t="shared" si="41"/>
        <v>3. High</v>
      </c>
      <c r="AL432" s="1" t="str">
        <f t="shared" si="42"/>
        <v>3. Better</v>
      </c>
    </row>
    <row r="433" spans="1:38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f t="shared" si="37"/>
        <v>0</v>
      </c>
      <c r="AH433" t="str">
        <f t="shared" si="38"/>
        <v>46-55</v>
      </c>
      <c r="AI433" t="str">
        <f t="shared" si="39"/>
        <v>2. 3K-6K</v>
      </c>
      <c r="AJ433" s="1" t="str">
        <f t="shared" si="40"/>
        <v>1. 0-1 yrs</v>
      </c>
      <c r="AK433" s="1" t="str">
        <f t="shared" si="41"/>
        <v>3. High</v>
      </c>
      <c r="AL433" s="1" t="str">
        <f t="shared" si="42"/>
        <v>3. Better</v>
      </c>
    </row>
    <row r="434" spans="1:38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f t="shared" si="37"/>
        <v>0</v>
      </c>
      <c r="AH434" t="str">
        <f t="shared" si="38"/>
        <v>26-35</v>
      </c>
      <c r="AI434" t="str">
        <f t="shared" si="39"/>
        <v>1. Under 3K</v>
      </c>
      <c r="AJ434" s="1" t="str">
        <f t="shared" si="40"/>
        <v>3. 6-10 yrs</v>
      </c>
      <c r="AK434" s="1" t="str">
        <f t="shared" si="41"/>
        <v>3. High</v>
      </c>
      <c r="AL434" s="1" t="str">
        <f t="shared" si="42"/>
        <v>3. Better</v>
      </c>
    </row>
    <row r="435" spans="1:38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f t="shared" si="37"/>
        <v>0</v>
      </c>
      <c r="AH435" t="str">
        <f t="shared" si="38"/>
        <v>46-55</v>
      </c>
      <c r="AI435" t="str">
        <f t="shared" si="39"/>
        <v>3. 6K-10K</v>
      </c>
      <c r="AJ435" s="1" t="str">
        <f t="shared" si="40"/>
        <v>2. 2-5 yrs</v>
      </c>
      <c r="AK435" s="1" t="str">
        <f t="shared" si="41"/>
        <v>4. Very High</v>
      </c>
      <c r="AL435" s="1" t="str">
        <f t="shared" si="42"/>
        <v>3. Better</v>
      </c>
    </row>
    <row r="436" spans="1:38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f t="shared" si="37"/>
        <v>0</v>
      </c>
      <c r="AH436" t="str">
        <f t="shared" si="38"/>
        <v>26-35</v>
      </c>
      <c r="AI436" t="str">
        <f t="shared" si="39"/>
        <v>4. 10K+</v>
      </c>
      <c r="AJ436" s="1" t="str">
        <f t="shared" si="40"/>
        <v>4. 10+ yrs</v>
      </c>
      <c r="AK436" s="1" t="str">
        <f t="shared" si="41"/>
        <v>2. Medium</v>
      </c>
      <c r="AL436" s="1" t="str">
        <f t="shared" si="42"/>
        <v>4. Best</v>
      </c>
    </row>
    <row r="437" spans="1:38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f t="shared" si="37"/>
        <v>1</v>
      </c>
      <c r="AH437" t="str">
        <f t="shared" si="38"/>
        <v>26-35</v>
      </c>
      <c r="AI437" t="str">
        <f t="shared" si="39"/>
        <v>4. 10K+</v>
      </c>
      <c r="AJ437" s="1" t="str">
        <f t="shared" si="40"/>
        <v>3. 6-10 yrs</v>
      </c>
      <c r="AK437" s="1" t="str">
        <f t="shared" si="41"/>
        <v>3. High</v>
      </c>
      <c r="AL437" s="1" t="str">
        <f t="shared" si="42"/>
        <v>4. Best</v>
      </c>
    </row>
    <row r="438" spans="1:38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f t="shared" si="37"/>
        <v>1</v>
      </c>
      <c r="AH438" t="str">
        <f t="shared" si="38"/>
        <v>26-35</v>
      </c>
      <c r="AI438" t="str">
        <f t="shared" si="39"/>
        <v>2. 3K-6K</v>
      </c>
      <c r="AJ438" s="1" t="str">
        <f t="shared" si="40"/>
        <v>2. 2-5 yrs</v>
      </c>
      <c r="AK438" s="1" t="str">
        <f t="shared" si="41"/>
        <v>4. Very High</v>
      </c>
      <c r="AL438" s="1" t="str">
        <f t="shared" si="42"/>
        <v>3. Better</v>
      </c>
    </row>
    <row r="439" spans="1:38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f t="shared" si="37"/>
        <v>0</v>
      </c>
      <c r="AH439" t="str">
        <f t="shared" si="38"/>
        <v>26-35</v>
      </c>
      <c r="AI439" t="str">
        <f t="shared" si="39"/>
        <v>1. Under 3K</v>
      </c>
      <c r="AJ439" s="1" t="str">
        <f t="shared" si="40"/>
        <v>2. 2-5 yrs</v>
      </c>
      <c r="AK439" s="1" t="str">
        <f t="shared" si="41"/>
        <v>2. Medium</v>
      </c>
      <c r="AL439" s="1" t="str">
        <f t="shared" si="42"/>
        <v>3. Better</v>
      </c>
    </row>
    <row r="440" spans="1:38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f t="shared" si="37"/>
        <v>0</v>
      </c>
      <c r="AH440" t="str">
        <f t="shared" si="38"/>
        <v>26-35</v>
      </c>
      <c r="AI440" t="str">
        <f t="shared" si="39"/>
        <v>3. 6K-10K</v>
      </c>
      <c r="AJ440" s="1" t="str">
        <f t="shared" si="40"/>
        <v>3. 6-10 yrs</v>
      </c>
      <c r="AK440" s="1" t="str">
        <f t="shared" si="41"/>
        <v>3. High</v>
      </c>
      <c r="AL440" s="1" t="str">
        <f t="shared" si="42"/>
        <v>3. Better</v>
      </c>
    </row>
    <row r="441" spans="1:38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f t="shared" si="37"/>
        <v>1</v>
      </c>
      <c r="AH441" t="str">
        <f t="shared" si="38"/>
        <v>26-35</v>
      </c>
      <c r="AI441" t="str">
        <f t="shared" si="39"/>
        <v>3. 6K-10K</v>
      </c>
      <c r="AJ441" s="1" t="str">
        <f t="shared" si="40"/>
        <v>1. 0-1 yrs</v>
      </c>
      <c r="AK441" s="1" t="str">
        <f t="shared" si="41"/>
        <v>3. High</v>
      </c>
      <c r="AL441" s="1" t="str">
        <f t="shared" si="42"/>
        <v>3. Better</v>
      </c>
    </row>
    <row r="442" spans="1:38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f t="shared" si="37"/>
        <v>1</v>
      </c>
      <c r="AH442" t="str">
        <f t="shared" si="38"/>
        <v>26-35</v>
      </c>
      <c r="AI442" t="str">
        <f t="shared" si="39"/>
        <v>3. 6K-10K</v>
      </c>
      <c r="AJ442" s="1" t="str">
        <f t="shared" si="40"/>
        <v>2. 2-5 yrs</v>
      </c>
      <c r="AK442" s="1" t="str">
        <f t="shared" si="41"/>
        <v>1. Low</v>
      </c>
      <c r="AL442" s="1" t="str">
        <f t="shared" si="42"/>
        <v>3. Better</v>
      </c>
    </row>
    <row r="443" spans="1:38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f t="shared" si="37"/>
        <v>0</v>
      </c>
      <c r="AH443" t="str">
        <f t="shared" si="38"/>
        <v>36-45</v>
      </c>
      <c r="AI443" t="str">
        <f t="shared" si="39"/>
        <v>1. Under 3K</v>
      </c>
      <c r="AJ443" s="1" t="str">
        <f t="shared" si="40"/>
        <v>2. 2-5 yrs</v>
      </c>
      <c r="AK443" s="1" t="str">
        <f t="shared" si="41"/>
        <v>3. High</v>
      </c>
      <c r="AL443" s="1" t="str">
        <f t="shared" si="42"/>
        <v>3. Better</v>
      </c>
    </row>
    <row r="444" spans="1:38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f t="shared" si="37"/>
        <v>0</v>
      </c>
      <c r="AH444" t="str">
        <f t="shared" si="38"/>
        <v>36-45</v>
      </c>
      <c r="AI444" t="str">
        <f t="shared" si="39"/>
        <v>3. 6K-10K</v>
      </c>
      <c r="AJ444" s="1" t="str">
        <f t="shared" si="40"/>
        <v>3. 6-10 yrs</v>
      </c>
      <c r="AK444" s="1" t="str">
        <f t="shared" si="41"/>
        <v>4. Very High</v>
      </c>
      <c r="AL444" s="1" t="str">
        <f t="shared" si="42"/>
        <v>2. Good</v>
      </c>
    </row>
    <row r="445" spans="1:38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f t="shared" si="37"/>
        <v>1</v>
      </c>
      <c r="AH445" t="str">
        <f t="shared" si="38"/>
        <v>18-25</v>
      </c>
      <c r="AI445" t="str">
        <f t="shared" si="39"/>
        <v>2. 3K-6K</v>
      </c>
      <c r="AJ445" s="1" t="str">
        <f t="shared" si="40"/>
        <v>2. 2-5 yrs</v>
      </c>
      <c r="AK445" s="1" t="str">
        <f t="shared" si="41"/>
        <v>3. High</v>
      </c>
      <c r="AL445" s="1" t="str">
        <f t="shared" si="42"/>
        <v>3. Better</v>
      </c>
    </row>
    <row r="446" spans="1:38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f t="shared" si="37"/>
        <v>0</v>
      </c>
      <c r="AH446" t="str">
        <f t="shared" si="38"/>
        <v>46-55</v>
      </c>
      <c r="AI446" t="str">
        <f t="shared" si="39"/>
        <v>2. 3K-6K</v>
      </c>
      <c r="AJ446" s="1" t="str">
        <f t="shared" si="40"/>
        <v>3. 6-10 yrs</v>
      </c>
      <c r="AK446" s="1" t="str">
        <f t="shared" si="41"/>
        <v>4. Very High</v>
      </c>
      <c r="AL446" s="1" t="str">
        <f t="shared" si="42"/>
        <v>3. Better</v>
      </c>
    </row>
    <row r="447" spans="1:38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f t="shared" si="37"/>
        <v>0</v>
      </c>
      <c r="AH447" t="str">
        <f t="shared" si="38"/>
        <v>46-55</v>
      </c>
      <c r="AI447" t="str">
        <f t="shared" si="39"/>
        <v>4. 10K+</v>
      </c>
      <c r="AJ447" s="1" t="str">
        <f t="shared" si="40"/>
        <v>3. 6-10 yrs</v>
      </c>
      <c r="AK447" s="1" t="str">
        <f t="shared" si="41"/>
        <v>2. Medium</v>
      </c>
      <c r="AL447" s="1" t="str">
        <f t="shared" si="42"/>
        <v>3. Better</v>
      </c>
    </row>
    <row r="448" spans="1:38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f t="shared" si="37"/>
        <v>0</v>
      </c>
      <c r="AH448" t="str">
        <f t="shared" si="38"/>
        <v>36-45</v>
      </c>
      <c r="AI448" t="str">
        <f t="shared" si="39"/>
        <v>3. 6K-10K</v>
      </c>
      <c r="AJ448" s="1" t="str">
        <f t="shared" si="40"/>
        <v>4. 10+ yrs</v>
      </c>
      <c r="AK448" s="1" t="str">
        <f t="shared" si="41"/>
        <v>4. Very High</v>
      </c>
      <c r="AL448" s="1" t="str">
        <f t="shared" si="42"/>
        <v>3. Better</v>
      </c>
    </row>
    <row r="449" spans="1:38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f t="shared" si="37"/>
        <v>0</v>
      </c>
      <c r="AH449" t="str">
        <f t="shared" si="38"/>
        <v>26-35</v>
      </c>
      <c r="AI449" t="str">
        <f t="shared" si="39"/>
        <v>2. 3K-6K</v>
      </c>
      <c r="AJ449" s="1" t="str">
        <f t="shared" si="40"/>
        <v>4. 10+ yrs</v>
      </c>
      <c r="AK449" s="1" t="str">
        <f t="shared" si="41"/>
        <v>3. High</v>
      </c>
      <c r="AL449" s="1" t="str">
        <f t="shared" si="42"/>
        <v>3. Better</v>
      </c>
    </row>
    <row r="450" spans="1:38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f t="shared" ref="AG450:AG513" si="43">IF(B450="Yes",1,0)</f>
        <v>0</v>
      </c>
      <c r="AH450" t="str">
        <f t="shared" ref="AH450:AH513" si="44">IF(A450&lt;26,"18-25",IF(A450&lt;36,"26-35",IF(A450&lt;46,"36-45",IF(A450&lt;56,"46-55","56+"))))</f>
        <v>36-45</v>
      </c>
      <c r="AI450" t="str">
        <f t="shared" ref="AI450:AI513" si="45">IF(R450&lt;3000,"1. Under 3K",IF(R450&lt;6000,"2. 3K-6K",IF(R450&lt;10000,"3. 6K-10K","4. 10K+")))</f>
        <v>4. 10K+</v>
      </c>
      <c r="AJ450" s="1" t="str">
        <f t="shared" ref="AJ450:AJ513" si="46">IF(AC450&lt;2,"1. 0-1 yrs",IF(AC450&lt;6,"2. 2-5 yrs",IF(AC450&lt;11,"3. 6-10 yrs","4. 10+ yrs")))</f>
        <v>4. 10+ yrs</v>
      </c>
      <c r="AK450" s="1" t="str">
        <f t="shared" ref="AK450:AK513" si="47">CHOOSE(P450,"1. Low","2. Medium","3. High","4. Very High")</f>
        <v>3. High</v>
      </c>
      <c r="AL450" s="1" t="str">
        <f t="shared" ref="AL450:AL513" si="48">CHOOSE(AB450,"1. Bad","2. Good","3. Better","4. Best")</f>
        <v>3. Better</v>
      </c>
    </row>
    <row r="451" spans="1:38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f t="shared" si="43"/>
        <v>0</v>
      </c>
      <c r="AH451" t="str">
        <f t="shared" si="44"/>
        <v>36-45</v>
      </c>
      <c r="AI451" t="str">
        <f t="shared" si="45"/>
        <v>2. 3K-6K</v>
      </c>
      <c r="AJ451" s="1" t="str">
        <f t="shared" si="46"/>
        <v>3. 6-10 yrs</v>
      </c>
      <c r="AK451" s="1" t="str">
        <f t="shared" si="47"/>
        <v>3. High</v>
      </c>
      <c r="AL451" s="1" t="str">
        <f t="shared" si="48"/>
        <v>3. Better</v>
      </c>
    </row>
    <row r="452" spans="1:38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f t="shared" si="43"/>
        <v>0</v>
      </c>
      <c r="AH452" t="str">
        <f t="shared" si="44"/>
        <v>26-35</v>
      </c>
      <c r="AI452" t="str">
        <f t="shared" si="45"/>
        <v>3. 6K-10K</v>
      </c>
      <c r="AJ452" s="1" t="str">
        <f t="shared" si="46"/>
        <v>3. 6-10 yrs</v>
      </c>
      <c r="AK452" s="1" t="str">
        <f t="shared" si="47"/>
        <v>4. Very High</v>
      </c>
      <c r="AL452" s="1" t="str">
        <f t="shared" si="48"/>
        <v>4. Best</v>
      </c>
    </row>
    <row r="453" spans="1:38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f t="shared" si="43"/>
        <v>0</v>
      </c>
      <c r="AH453" t="str">
        <f t="shared" si="44"/>
        <v>36-45</v>
      </c>
      <c r="AI453" t="str">
        <f t="shared" si="45"/>
        <v>3. 6K-10K</v>
      </c>
      <c r="AJ453" s="1" t="str">
        <f t="shared" si="46"/>
        <v>3. 6-10 yrs</v>
      </c>
      <c r="AK453" s="1" t="str">
        <f t="shared" si="47"/>
        <v>1. Low</v>
      </c>
      <c r="AL453" s="1" t="str">
        <f t="shared" si="48"/>
        <v>2. Good</v>
      </c>
    </row>
    <row r="454" spans="1:38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f t="shared" si="43"/>
        <v>0</v>
      </c>
      <c r="AH454" t="str">
        <f t="shared" si="44"/>
        <v>36-45</v>
      </c>
      <c r="AI454" t="str">
        <f t="shared" si="45"/>
        <v>2. 3K-6K</v>
      </c>
      <c r="AJ454" s="1" t="str">
        <f t="shared" si="46"/>
        <v>3. 6-10 yrs</v>
      </c>
      <c r="AK454" s="1" t="str">
        <f t="shared" si="47"/>
        <v>2. Medium</v>
      </c>
      <c r="AL454" s="1" t="str">
        <f t="shared" si="48"/>
        <v>4. Best</v>
      </c>
    </row>
    <row r="455" spans="1:38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f t="shared" si="43"/>
        <v>1</v>
      </c>
      <c r="AH455" t="str">
        <f t="shared" si="44"/>
        <v>26-35</v>
      </c>
      <c r="AI455" t="str">
        <f t="shared" si="45"/>
        <v>1. Under 3K</v>
      </c>
      <c r="AJ455" s="1" t="str">
        <f t="shared" si="46"/>
        <v>3. 6-10 yrs</v>
      </c>
      <c r="AK455" s="1" t="str">
        <f t="shared" si="47"/>
        <v>3. High</v>
      </c>
      <c r="AL455" s="1" t="str">
        <f t="shared" si="48"/>
        <v>2. Good</v>
      </c>
    </row>
    <row r="456" spans="1:38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f t="shared" si="43"/>
        <v>0</v>
      </c>
      <c r="AH456" t="str">
        <f t="shared" si="44"/>
        <v>26-35</v>
      </c>
      <c r="AI456" t="str">
        <f t="shared" si="45"/>
        <v>2. 3K-6K</v>
      </c>
      <c r="AJ456" s="1" t="str">
        <f t="shared" si="46"/>
        <v>2. 2-5 yrs</v>
      </c>
      <c r="AK456" s="1" t="str">
        <f t="shared" si="47"/>
        <v>4. Very High</v>
      </c>
      <c r="AL456" s="1" t="str">
        <f t="shared" si="48"/>
        <v>4. Best</v>
      </c>
    </row>
    <row r="457" spans="1:38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f t="shared" si="43"/>
        <v>0</v>
      </c>
      <c r="AH457" t="str">
        <f t="shared" si="44"/>
        <v>26-35</v>
      </c>
      <c r="AI457" t="str">
        <f t="shared" si="45"/>
        <v>4. 10K+</v>
      </c>
      <c r="AJ457" s="1" t="str">
        <f t="shared" si="46"/>
        <v>3. 6-10 yrs</v>
      </c>
      <c r="AK457" s="1" t="str">
        <f t="shared" si="47"/>
        <v>3. High</v>
      </c>
      <c r="AL457" s="1" t="str">
        <f t="shared" si="48"/>
        <v>3. Better</v>
      </c>
    </row>
    <row r="458" spans="1:38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f t="shared" si="43"/>
        <v>0</v>
      </c>
      <c r="AH458" t="str">
        <f t="shared" si="44"/>
        <v>26-35</v>
      </c>
      <c r="AI458" t="str">
        <f t="shared" si="45"/>
        <v>4. 10K+</v>
      </c>
      <c r="AJ458" s="1" t="str">
        <f t="shared" si="46"/>
        <v>2. 2-5 yrs</v>
      </c>
      <c r="AK458" s="1" t="str">
        <f t="shared" si="47"/>
        <v>4. Very High</v>
      </c>
      <c r="AL458" s="1" t="str">
        <f t="shared" si="48"/>
        <v>2. Good</v>
      </c>
    </row>
    <row r="459" spans="1:38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f t="shared" si="43"/>
        <v>1</v>
      </c>
      <c r="AH459" t="str">
        <f t="shared" si="44"/>
        <v>18-25</v>
      </c>
      <c r="AI459" t="str">
        <f t="shared" si="45"/>
        <v>1. Under 3K</v>
      </c>
      <c r="AJ459" s="1" t="str">
        <f t="shared" si="46"/>
        <v>1. 0-1 yrs</v>
      </c>
      <c r="AK459" s="1" t="str">
        <f t="shared" si="47"/>
        <v>2. Medium</v>
      </c>
      <c r="AL459" s="1" t="str">
        <f t="shared" si="48"/>
        <v>3. Better</v>
      </c>
    </row>
    <row r="460" spans="1:38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f t="shared" si="43"/>
        <v>0</v>
      </c>
      <c r="AH460" t="str">
        <f t="shared" si="44"/>
        <v>36-45</v>
      </c>
      <c r="AI460" t="str">
        <f t="shared" si="45"/>
        <v>4. 10K+</v>
      </c>
      <c r="AJ460" s="1" t="str">
        <f t="shared" si="46"/>
        <v>1. 0-1 yrs</v>
      </c>
      <c r="AK460" s="1" t="str">
        <f t="shared" si="47"/>
        <v>1. Low</v>
      </c>
      <c r="AL460" s="1" t="str">
        <f t="shared" si="48"/>
        <v>3. Better</v>
      </c>
    </row>
    <row r="461" spans="1:38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f t="shared" si="43"/>
        <v>0</v>
      </c>
      <c r="AH461" t="str">
        <f t="shared" si="44"/>
        <v>36-45</v>
      </c>
      <c r="AI461" t="str">
        <f t="shared" si="45"/>
        <v>3. 6K-10K</v>
      </c>
      <c r="AJ461" s="1" t="str">
        <f t="shared" si="46"/>
        <v>3. 6-10 yrs</v>
      </c>
      <c r="AK461" s="1" t="str">
        <f t="shared" si="47"/>
        <v>3. High</v>
      </c>
      <c r="AL461" s="1" t="str">
        <f t="shared" si="48"/>
        <v>3. Better</v>
      </c>
    </row>
    <row r="462" spans="1:38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f t="shared" si="43"/>
        <v>0</v>
      </c>
      <c r="AH462" t="str">
        <f t="shared" si="44"/>
        <v>26-35</v>
      </c>
      <c r="AI462" t="str">
        <f t="shared" si="45"/>
        <v>2. 3K-6K</v>
      </c>
      <c r="AJ462" s="1" t="str">
        <f t="shared" si="46"/>
        <v>1. 0-1 yrs</v>
      </c>
      <c r="AK462" s="1" t="str">
        <f t="shared" si="47"/>
        <v>3. High</v>
      </c>
      <c r="AL462" s="1" t="str">
        <f t="shared" si="48"/>
        <v>3. Better</v>
      </c>
    </row>
    <row r="463" spans="1:38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f t="shared" si="43"/>
        <v>0</v>
      </c>
      <c r="AH463" t="str">
        <f t="shared" si="44"/>
        <v>26-35</v>
      </c>
      <c r="AI463" t="str">
        <f t="shared" si="45"/>
        <v>2. 3K-6K</v>
      </c>
      <c r="AJ463" s="1" t="str">
        <f t="shared" si="46"/>
        <v>2. 2-5 yrs</v>
      </c>
      <c r="AK463" s="1" t="str">
        <f t="shared" si="47"/>
        <v>3. High</v>
      </c>
      <c r="AL463" s="1" t="str">
        <f t="shared" si="48"/>
        <v>3. Better</v>
      </c>
    </row>
    <row r="464" spans="1:38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f t="shared" si="43"/>
        <v>0</v>
      </c>
      <c r="AH464" t="str">
        <f t="shared" si="44"/>
        <v>26-35</v>
      </c>
      <c r="AI464" t="str">
        <f t="shared" si="45"/>
        <v>2. 3K-6K</v>
      </c>
      <c r="AJ464" s="1" t="str">
        <f t="shared" si="46"/>
        <v>3. 6-10 yrs</v>
      </c>
      <c r="AK464" s="1" t="str">
        <f t="shared" si="47"/>
        <v>4. Very High</v>
      </c>
      <c r="AL464" s="1" t="str">
        <f t="shared" si="48"/>
        <v>3. Better</v>
      </c>
    </row>
    <row r="465" spans="1:38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f t="shared" si="43"/>
        <v>1</v>
      </c>
      <c r="AH465" t="str">
        <f t="shared" si="44"/>
        <v>26-35</v>
      </c>
      <c r="AI465" t="str">
        <f t="shared" si="45"/>
        <v>1. Under 3K</v>
      </c>
      <c r="AJ465" s="1" t="str">
        <f t="shared" si="46"/>
        <v>1. 0-1 yrs</v>
      </c>
      <c r="AK465" s="1" t="str">
        <f t="shared" si="47"/>
        <v>4. Very High</v>
      </c>
      <c r="AL465" s="1" t="str">
        <f t="shared" si="48"/>
        <v>1. Bad</v>
      </c>
    </row>
    <row r="466" spans="1:38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f t="shared" si="43"/>
        <v>0</v>
      </c>
      <c r="AH466" t="str">
        <f t="shared" si="44"/>
        <v>36-45</v>
      </c>
      <c r="AI466" t="str">
        <f t="shared" si="45"/>
        <v>3. 6K-10K</v>
      </c>
      <c r="AJ466" s="1" t="str">
        <f t="shared" si="46"/>
        <v>3. 6-10 yrs</v>
      </c>
      <c r="AK466" s="1" t="str">
        <f t="shared" si="47"/>
        <v>4. Very High</v>
      </c>
      <c r="AL466" s="1" t="str">
        <f t="shared" si="48"/>
        <v>4. Best</v>
      </c>
    </row>
    <row r="467" spans="1:38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f t="shared" si="43"/>
        <v>0</v>
      </c>
      <c r="AH467" t="str">
        <f t="shared" si="44"/>
        <v>46-55</v>
      </c>
      <c r="AI467" t="str">
        <f t="shared" si="45"/>
        <v>4. 10K+</v>
      </c>
      <c r="AJ467" s="1" t="str">
        <f t="shared" si="46"/>
        <v>2. 2-5 yrs</v>
      </c>
      <c r="AK467" s="1" t="str">
        <f t="shared" si="47"/>
        <v>3. High</v>
      </c>
      <c r="AL467" s="1" t="str">
        <f t="shared" si="48"/>
        <v>2. Good</v>
      </c>
    </row>
    <row r="468" spans="1:38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f t="shared" si="43"/>
        <v>0</v>
      </c>
      <c r="AH468" t="str">
        <f t="shared" si="44"/>
        <v>36-45</v>
      </c>
      <c r="AI468" t="str">
        <f t="shared" si="45"/>
        <v>4. 10K+</v>
      </c>
      <c r="AJ468" s="1" t="str">
        <f t="shared" si="46"/>
        <v>4. 10+ yrs</v>
      </c>
      <c r="AK468" s="1" t="str">
        <f t="shared" si="47"/>
        <v>1. Low</v>
      </c>
      <c r="AL468" s="1" t="str">
        <f t="shared" si="48"/>
        <v>3. Better</v>
      </c>
    </row>
    <row r="469" spans="1:38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f t="shared" si="43"/>
        <v>0</v>
      </c>
      <c r="AH469" t="str">
        <f t="shared" si="44"/>
        <v>36-45</v>
      </c>
      <c r="AI469" t="str">
        <f t="shared" si="45"/>
        <v>3. 6K-10K</v>
      </c>
      <c r="AJ469" s="1" t="str">
        <f t="shared" si="46"/>
        <v>3. 6-10 yrs</v>
      </c>
      <c r="AK469" s="1" t="str">
        <f t="shared" si="47"/>
        <v>2. Medium</v>
      </c>
      <c r="AL469" s="1" t="str">
        <f t="shared" si="48"/>
        <v>3. Better</v>
      </c>
    </row>
    <row r="470" spans="1:38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f t="shared" si="43"/>
        <v>0</v>
      </c>
      <c r="AH470" t="str">
        <f t="shared" si="44"/>
        <v>46-55</v>
      </c>
      <c r="AI470" t="str">
        <f t="shared" si="45"/>
        <v>2. 3K-6K</v>
      </c>
      <c r="AJ470" s="1" t="str">
        <f t="shared" si="46"/>
        <v>3. 6-10 yrs</v>
      </c>
      <c r="AK470" s="1" t="str">
        <f t="shared" si="47"/>
        <v>1. Low</v>
      </c>
      <c r="AL470" s="1" t="str">
        <f t="shared" si="48"/>
        <v>3. Better</v>
      </c>
    </row>
    <row r="471" spans="1:38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f t="shared" si="43"/>
        <v>1</v>
      </c>
      <c r="AH471" t="str">
        <f t="shared" si="44"/>
        <v>26-35</v>
      </c>
      <c r="AI471" t="str">
        <f t="shared" si="45"/>
        <v>2. 3K-6K</v>
      </c>
      <c r="AJ471" s="1" t="str">
        <f t="shared" si="46"/>
        <v>2. 2-5 yrs</v>
      </c>
      <c r="AK471" s="1" t="str">
        <f t="shared" si="47"/>
        <v>3. High</v>
      </c>
      <c r="AL471" s="1" t="str">
        <f t="shared" si="48"/>
        <v>3. Better</v>
      </c>
    </row>
    <row r="472" spans="1:38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f t="shared" si="43"/>
        <v>0</v>
      </c>
      <c r="AH472" t="str">
        <f t="shared" si="44"/>
        <v>18-25</v>
      </c>
      <c r="AI472" t="str">
        <f t="shared" si="45"/>
        <v>1. Under 3K</v>
      </c>
      <c r="AJ472" s="1" t="str">
        <f t="shared" si="46"/>
        <v>2. 2-5 yrs</v>
      </c>
      <c r="AK472" s="1" t="str">
        <f t="shared" si="47"/>
        <v>4. Very High</v>
      </c>
      <c r="AL472" s="1" t="str">
        <f t="shared" si="48"/>
        <v>3. Better</v>
      </c>
    </row>
    <row r="473" spans="1:38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f t="shared" si="43"/>
        <v>0</v>
      </c>
      <c r="AH473" t="str">
        <f t="shared" si="44"/>
        <v>36-45</v>
      </c>
      <c r="AI473" t="str">
        <f t="shared" si="45"/>
        <v>3. 6K-10K</v>
      </c>
      <c r="AJ473" s="1" t="str">
        <f t="shared" si="46"/>
        <v>1. 0-1 yrs</v>
      </c>
      <c r="AK473" s="1" t="str">
        <f t="shared" si="47"/>
        <v>3. High</v>
      </c>
      <c r="AL473" s="1" t="str">
        <f t="shared" si="48"/>
        <v>3. Better</v>
      </c>
    </row>
    <row r="474" spans="1:38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f t="shared" si="43"/>
        <v>0</v>
      </c>
      <c r="AH474" t="str">
        <f t="shared" si="44"/>
        <v>36-45</v>
      </c>
      <c r="AI474" t="str">
        <f t="shared" si="45"/>
        <v>3. 6K-10K</v>
      </c>
      <c r="AJ474" s="1" t="str">
        <f t="shared" si="46"/>
        <v>3. 6-10 yrs</v>
      </c>
      <c r="AK474" s="1" t="str">
        <f t="shared" si="47"/>
        <v>2. Medium</v>
      </c>
      <c r="AL474" s="1" t="str">
        <f t="shared" si="48"/>
        <v>2. Good</v>
      </c>
    </row>
    <row r="475" spans="1:38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f t="shared" si="43"/>
        <v>0</v>
      </c>
      <c r="AH475" t="str">
        <f t="shared" si="44"/>
        <v>46-55</v>
      </c>
      <c r="AI475" t="str">
        <f t="shared" si="45"/>
        <v>4. 10K+</v>
      </c>
      <c r="AJ475" s="1" t="str">
        <f t="shared" si="46"/>
        <v>4. 10+ yrs</v>
      </c>
      <c r="AK475" s="1" t="str">
        <f t="shared" si="47"/>
        <v>3. High</v>
      </c>
      <c r="AL475" s="1" t="str">
        <f t="shared" si="48"/>
        <v>3. Better</v>
      </c>
    </row>
    <row r="476" spans="1:38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f t="shared" si="43"/>
        <v>0</v>
      </c>
      <c r="AH476" t="str">
        <f t="shared" si="44"/>
        <v>18-25</v>
      </c>
      <c r="AI476" t="str">
        <f t="shared" si="45"/>
        <v>1. Under 3K</v>
      </c>
      <c r="AJ476" s="1" t="str">
        <f t="shared" si="46"/>
        <v>3. 6-10 yrs</v>
      </c>
      <c r="AK476" s="1" t="str">
        <f t="shared" si="47"/>
        <v>4. Very High</v>
      </c>
      <c r="AL476" s="1" t="str">
        <f t="shared" si="48"/>
        <v>3. Better</v>
      </c>
    </row>
    <row r="477" spans="1:38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f t="shared" si="43"/>
        <v>0</v>
      </c>
      <c r="AH477" t="str">
        <f t="shared" si="44"/>
        <v>26-35</v>
      </c>
      <c r="AI477" t="str">
        <f t="shared" si="45"/>
        <v>3. 6K-10K</v>
      </c>
      <c r="AJ477" s="1" t="str">
        <f t="shared" si="46"/>
        <v>2. 2-5 yrs</v>
      </c>
      <c r="AK477" s="1" t="str">
        <f t="shared" si="47"/>
        <v>2. Medium</v>
      </c>
      <c r="AL477" s="1" t="str">
        <f t="shared" si="48"/>
        <v>4. Best</v>
      </c>
    </row>
    <row r="478" spans="1:38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f t="shared" si="43"/>
        <v>0</v>
      </c>
      <c r="AH478" t="str">
        <f t="shared" si="44"/>
        <v>18-25</v>
      </c>
      <c r="AI478" t="str">
        <f t="shared" si="45"/>
        <v>1. Under 3K</v>
      </c>
      <c r="AJ478" s="1" t="str">
        <f t="shared" si="46"/>
        <v>1. 0-1 yrs</v>
      </c>
      <c r="AK478" s="1" t="str">
        <f t="shared" si="47"/>
        <v>2. Medium</v>
      </c>
      <c r="AL478" s="1" t="str">
        <f t="shared" si="48"/>
        <v>3. Better</v>
      </c>
    </row>
    <row r="479" spans="1:38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f t="shared" si="43"/>
        <v>0</v>
      </c>
      <c r="AH479" t="str">
        <f t="shared" si="44"/>
        <v>46-55</v>
      </c>
      <c r="AI479" t="str">
        <f t="shared" si="45"/>
        <v>4. 10K+</v>
      </c>
      <c r="AJ479" s="1" t="str">
        <f t="shared" si="46"/>
        <v>4. 10+ yrs</v>
      </c>
      <c r="AK479" s="1" t="str">
        <f t="shared" si="47"/>
        <v>2. Medium</v>
      </c>
      <c r="AL479" s="1" t="str">
        <f t="shared" si="48"/>
        <v>3. Better</v>
      </c>
    </row>
    <row r="480" spans="1:38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f t="shared" si="43"/>
        <v>0</v>
      </c>
      <c r="AH480" t="str">
        <f t="shared" si="44"/>
        <v>18-25</v>
      </c>
      <c r="AI480" t="str">
        <f t="shared" si="45"/>
        <v>1. Under 3K</v>
      </c>
      <c r="AJ480" s="1" t="str">
        <f t="shared" si="46"/>
        <v>3. 6-10 yrs</v>
      </c>
      <c r="AK480" s="1" t="str">
        <f t="shared" si="47"/>
        <v>3. High</v>
      </c>
      <c r="AL480" s="1" t="str">
        <f t="shared" si="48"/>
        <v>3. Better</v>
      </c>
    </row>
    <row r="481" spans="1:38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f t="shared" si="43"/>
        <v>1</v>
      </c>
      <c r="AH481" t="str">
        <f t="shared" si="44"/>
        <v>18-25</v>
      </c>
      <c r="AI481" t="str">
        <f t="shared" si="45"/>
        <v>1. Under 3K</v>
      </c>
      <c r="AJ481" s="1" t="str">
        <f t="shared" si="46"/>
        <v>3. 6-10 yrs</v>
      </c>
      <c r="AK481" s="1" t="str">
        <f t="shared" si="47"/>
        <v>3. High</v>
      </c>
      <c r="AL481" s="1" t="str">
        <f t="shared" si="48"/>
        <v>3. Better</v>
      </c>
    </row>
    <row r="482" spans="1:38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f t="shared" si="43"/>
        <v>1</v>
      </c>
      <c r="AH482" t="str">
        <f t="shared" si="44"/>
        <v>26-35</v>
      </c>
      <c r="AI482" t="str">
        <f t="shared" si="45"/>
        <v>1. Under 3K</v>
      </c>
      <c r="AJ482" s="1" t="str">
        <f t="shared" si="46"/>
        <v>1. 0-1 yrs</v>
      </c>
      <c r="AK482" s="1" t="str">
        <f t="shared" si="47"/>
        <v>1. Low</v>
      </c>
      <c r="AL482" s="1" t="str">
        <f t="shared" si="48"/>
        <v>4. Best</v>
      </c>
    </row>
    <row r="483" spans="1:38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f t="shared" si="43"/>
        <v>0</v>
      </c>
      <c r="AH483" t="str">
        <f t="shared" si="44"/>
        <v>26-35</v>
      </c>
      <c r="AI483" t="str">
        <f t="shared" si="45"/>
        <v>2. 3K-6K</v>
      </c>
      <c r="AJ483" s="1" t="str">
        <f t="shared" si="46"/>
        <v>3. 6-10 yrs</v>
      </c>
      <c r="AK483" s="1" t="str">
        <f t="shared" si="47"/>
        <v>4. Very High</v>
      </c>
      <c r="AL483" s="1" t="str">
        <f t="shared" si="48"/>
        <v>3. Better</v>
      </c>
    </row>
    <row r="484" spans="1:38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f t="shared" si="43"/>
        <v>1</v>
      </c>
      <c r="AH484" t="str">
        <f t="shared" si="44"/>
        <v>26-35</v>
      </c>
      <c r="AI484" t="str">
        <f t="shared" si="45"/>
        <v>2. 3K-6K</v>
      </c>
      <c r="AJ484" s="1" t="str">
        <f t="shared" si="46"/>
        <v>2. 2-5 yrs</v>
      </c>
      <c r="AK484" s="1" t="str">
        <f t="shared" si="47"/>
        <v>1. Low</v>
      </c>
      <c r="AL484" s="1" t="str">
        <f t="shared" si="48"/>
        <v>1. Bad</v>
      </c>
    </row>
    <row r="485" spans="1:38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f t="shared" si="43"/>
        <v>0</v>
      </c>
      <c r="AH485" t="str">
        <f t="shared" si="44"/>
        <v>26-35</v>
      </c>
      <c r="AI485" t="str">
        <f t="shared" si="45"/>
        <v>2. 3K-6K</v>
      </c>
      <c r="AJ485" s="1" t="str">
        <f t="shared" si="46"/>
        <v>2. 2-5 yrs</v>
      </c>
      <c r="AK485" s="1" t="str">
        <f t="shared" si="47"/>
        <v>4. Very High</v>
      </c>
      <c r="AL485" s="1" t="str">
        <f t="shared" si="48"/>
        <v>3. Better</v>
      </c>
    </row>
    <row r="486" spans="1:38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f t="shared" si="43"/>
        <v>0</v>
      </c>
      <c r="AH486" t="str">
        <f t="shared" si="44"/>
        <v>26-35</v>
      </c>
      <c r="AI486" t="str">
        <f t="shared" si="45"/>
        <v>2. 3K-6K</v>
      </c>
      <c r="AJ486" s="1" t="str">
        <f t="shared" si="46"/>
        <v>3. 6-10 yrs</v>
      </c>
      <c r="AK486" s="1" t="str">
        <f t="shared" si="47"/>
        <v>4. Very High</v>
      </c>
      <c r="AL486" s="1" t="str">
        <f t="shared" si="48"/>
        <v>4. Best</v>
      </c>
    </row>
    <row r="487" spans="1:38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f t="shared" si="43"/>
        <v>0</v>
      </c>
      <c r="AH487" t="str">
        <f t="shared" si="44"/>
        <v>26-35</v>
      </c>
      <c r="AI487" t="str">
        <f t="shared" si="45"/>
        <v>1. Under 3K</v>
      </c>
      <c r="AJ487" s="1" t="str">
        <f t="shared" si="46"/>
        <v>2. 2-5 yrs</v>
      </c>
      <c r="AK487" s="1" t="str">
        <f t="shared" si="47"/>
        <v>3. High</v>
      </c>
      <c r="AL487" s="1" t="str">
        <f t="shared" si="48"/>
        <v>2. Good</v>
      </c>
    </row>
    <row r="488" spans="1:38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f t="shared" si="43"/>
        <v>0</v>
      </c>
      <c r="AH488" t="str">
        <f t="shared" si="44"/>
        <v>36-45</v>
      </c>
      <c r="AI488" t="str">
        <f t="shared" si="45"/>
        <v>3. 6K-10K</v>
      </c>
      <c r="AJ488" s="1" t="str">
        <f t="shared" si="46"/>
        <v>2. 2-5 yrs</v>
      </c>
      <c r="AK488" s="1" t="str">
        <f t="shared" si="47"/>
        <v>3. High</v>
      </c>
      <c r="AL488" s="1" t="str">
        <f t="shared" si="48"/>
        <v>2. Good</v>
      </c>
    </row>
    <row r="489" spans="1:38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f t="shared" si="43"/>
        <v>0</v>
      </c>
      <c r="AH489" t="str">
        <f t="shared" si="44"/>
        <v>18-25</v>
      </c>
      <c r="AI489" t="str">
        <f t="shared" si="45"/>
        <v>1. Under 3K</v>
      </c>
      <c r="AJ489" s="1" t="str">
        <f t="shared" si="46"/>
        <v>1. 0-1 yrs</v>
      </c>
      <c r="AK489" s="1" t="str">
        <f t="shared" si="47"/>
        <v>2. Medium</v>
      </c>
      <c r="AL489" s="1" t="str">
        <f t="shared" si="48"/>
        <v>4. Best</v>
      </c>
    </row>
    <row r="490" spans="1:38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f t="shared" si="43"/>
        <v>0</v>
      </c>
      <c r="AH490" t="str">
        <f t="shared" si="44"/>
        <v>36-45</v>
      </c>
      <c r="AI490" t="str">
        <f t="shared" si="45"/>
        <v>2. 3K-6K</v>
      </c>
      <c r="AJ490" s="1" t="str">
        <f t="shared" si="46"/>
        <v>3. 6-10 yrs</v>
      </c>
      <c r="AK490" s="1" t="str">
        <f t="shared" si="47"/>
        <v>4. Very High</v>
      </c>
      <c r="AL490" s="1" t="str">
        <f t="shared" si="48"/>
        <v>3. Better</v>
      </c>
    </row>
    <row r="491" spans="1:38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f t="shared" si="43"/>
        <v>0</v>
      </c>
      <c r="AH491" t="str">
        <f t="shared" si="44"/>
        <v>36-45</v>
      </c>
      <c r="AI491" t="str">
        <f t="shared" si="45"/>
        <v>4. 10K+</v>
      </c>
      <c r="AJ491" s="1" t="str">
        <f t="shared" si="46"/>
        <v>1. 0-1 yrs</v>
      </c>
      <c r="AK491" s="1" t="str">
        <f t="shared" si="47"/>
        <v>4. Very High</v>
      </c>
      <c r="AL491" s="1" t="str">
        <f t="shared" si="48"/>
        <v>2. Good</v>
      </c>
    </row>
    <row r="492" spans="1:38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f t="shared" si="43"/>
        <v>0</v>
      </c>
      <c r="AH492" t="str">
        <f t="shared" si="44"/>
        <v>36-45</v>
      </c>
      <c r="AI492" t="str">
        <f t="shared" si="45"/>
        <v>1. Under 3K</v>
      </c>
      <c r="AJ492" s="1" t="str">
        <f t="shared" si="46"/>
        <v>1. 0-1 yrs</v>
      </c>
      <c r="AK492" s="1" t="str">
        <f t="shared" si="47"/>
        <v>1. Low</v>
      </c>
      <c r="AL492" s="1" t="str">
        <f t="shared" si="48"/>
        <v>2. Good</v>
      </c>
    </row>
    <row r="493" spans="1:38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f t="shared" si="43"/>
        <v>0</v>
      </c>
      <c r="AH493" t="str">
        <f t="shared" si="44"/>
        <v>36-45</v>
      </c>
      <c r="AI493" t="str">
        <f t="shared" si="45"/>
        <v>2. 3K-6K</v>
      </c>
      <c r="AJ493" s="1" t="str">
        <f t="shared" si="46"/>
        <v>3. 6-10 yrs</v>
      </c>
      <c r="AK493" s="1" t="str">
        <f t="shared" si="47"/>
        <v>3. High</v>
      </c>
      <c r="AL493" s="1" t="str">
        <f t="shared" si="48"/>
        <v>3. Better</v>
      </c>
    </row>
    <row r="494" spans="1:38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f t="shared" si="43"/>
        <v>0</v>
      </c>
      <c r="AH494" t="str">
        <f t="shared" si="44"/>
        <v>46-55</v>
      </c>
      <c r="AI494" t="str">
        <f t="shared" si="45"/>
        <v>4. 10K+</v>
      </c>
      <c r="AJ494" s="1" t="str">
        <f t="shared" si="46"/>
        <v>2. 2-5 yrs</v>
      </c>
      <c r="AK494" s="1" t="str">
        <f t="shared" si="47"/>
        <v>1. Low</v>
      </c>
      <c r="AL494" s="1" t="str">
        <f t="shared" si="48"/>
        <v>1. Bad</v>
      </c>
    </row>
    <row r="495" spans="1:38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f t="shared" si="43"/>
        <v>0</v>
      </c>
      <c r="AH495" t="str">
        <f t="shared" si="44"/>
        <v>36-45</v>
      </c>
      <c r="AI495" t="str">
        <f t="shared" si="45"/>
        <v>2. 3K-6K</v>
      </c>
      <c r="AJ495" s="1" t="str">
        <f t="shared" si="46"/>
        <v>2. 2-5 yrs</v>
      </c>
      <c r="AK495" s="1" t="str">
        <f t="shared" si="47"/>
        <v>3. High</v>
      </c>
      <c r="AL495" s="1" t="str">
        <f t="shared" si="48"/>
        <v>4. Best</v>
      </c>
    </row>
    <row r="496" spans="1:38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f t="shared" si="43"/>
        <v>0</v>
      </c>
      <c r="AH496" t="str">
        <f t="shared" si="44"/>
        <v>26-35</v>
      </c>
      <c r="AI496" t="str">
        <f t="shared" si="45"/>
        <v>1. Under 3K</v>
      </c>
      <c r="AJ496" s="1" t="str">
        <f t="shared" si="46"/>
        <v>3. 6-10 yrs</v>
      </c>
      <c r="AK496" s="1" t="str">
        <f t="shared" si="47"/>
        <v>3. High</v>
      </c>
      <c r="AL496" s="1" t="str">
        <f t="shared" si="48"/>
        <v>3. Better</v>
      </c>
    </row>
    <row r="497" spans="1:38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f t="shared" si="43"/>
        <v>1</v>
      </c>
      <c r="AH497" t="str">
        <f t="shared" si="44"/>
        <v>26-35</v>
      </c>
      <c r="AI497" t="str">
        <f t="shared" si="45"/>
        <v>2. 3K-6K</v>
      </c>
      <c r="AJ497" s="1" t="str">
        <f t="shared" si="46"/>
        <v>2. 2-5 yrs</v>
      </c>
      <c r="AK497" s="1" t="str">
        <f t="shared" si="47"/>
        <v>1. Low</v>
      </c>
      <c r="AL497" s="1" t="str">
        <f t="shared" si="48"/>
        <v>3. Better</v>
      </c>
    </row>
    <row r="498" spans="1:38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f t="shared" si="43"/>
        <v>0</v>
      </c>
      <c r="AH498" t="str">
        <f t="shared" si="44"/>
        <v>18-25</v>
      </c>
      <c r="AI498" t="str">
        <f t="shared" si="45"/>
        <v>2. 3K-6K</v>
      </c>
      <c r="AJ498" s="1" t="str">
        <f t="shared" si="46"/>
        <v>2. 2-5 yrs</v>
      </c>
      <c r="AK498" s="1" t="str">
        <f t="shared" si="47"/>
        <v>3. High</v>
      </c>
      <c r="AL498" s="1" t="str">
        <f t="shared" si="48"/>
        <v>3. Better</v>
      </c>
    </row>
    <row r="499" spans="1:38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f t="shared" si="43"/>
        <v>0</v>
      </c>
      <c r="AH499" t="str">
        <f t="shared" si="44"/>
        <v>36-45</v>
      </c>
      <c r="AI499" t="str">
        <f t="shared" si="45"/>
        <v>4. 10K+</v>
      </c>
      <c r="AJ499" s="1" t="str">
        <f t="shared" si="46"/>
        <v>2. 2-5 yrs</v>
      </c>
      <c r="AK499" s="1" t="str">
        <f t="shared" si="47"/>
        <v>4. Very High</v>
      </c>
      <c r="AL499" s="1" t="str">
        <f t="shared" si="48"/>
        <v>4. Best</v>
      </c>
    </row>
    <row r="500" spans="1:38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f t="shared" si="43"/>
        <v>0</v>
      </c>
      <c r="AH500" t="str">
        <f t="shared" si="44"/>
        <v>18-25</v>
      </c>
      <c r="AI500" t="str">
        <f t="shared" si="45"/>
        <v>1. Under 3K</v>
      </c>
      <c r="AJ500" s="1" t="str">
        <f t="shared" si="46"/>
        <v>2. 2-5 yrs</v>
      </c>
      <c r="AK500" s="1" t="str">
        <f t="shared" si="47"/>
        <v>3. High</v>
      </c>
      <c r="AL500" s="1" t="str">
        <f t="shared" si="48"/>
        <v>3. Better</v>
      </c>
    </row>
    <row r="501" spans="1:38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f t="shared" si="43"/>
        <v>0</v>
      </c>
      <c r="AH501" t="str">
        <f t="shared" si="44"/>
        <v>26-35</v>
      </c>
      <c r="AI501" t="str">
        <f t="shared" si="45"/>
        <v>3. 6K-10K</v>
      </c>
      <c r="AJ501" s="1" t="str">
        <f t="shared" si="46"/>
        <v>2. 2-5 yrs</v>
      </c>
      <c r="AK501" s="1" t="str">
        <f t="shared" si="47"/>
        <v>3. High</v>
      </c>
      <c r="AL501" s="1" t="str">
        <f t="shared" si="48"/>
        <v>3. Better</v>
      </c>
    </row>
    <row r="502" spans="1:38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f t="shared" si="43"/>
        <v>0</v>
      </c>
      <c r="AH502" t="str">
        <f t="shared" si="44"/>
        <v>26-35</v>
      </c>
      <c r="AI502" t="str">
        <f t="shared" si="45"/>
        <v>3. 6K-10K</v>
      </c>
      <c r="AJ502" s="1" t="str">
        <f t="shared" si="46"/>
        <v>3. 6-10 yrs</v>
      </c>
      <c r="AK502" s="1" t="str">
        <f t="shared" si="47"/>
        <v>4. Very High</v>
      </c>
      <c r="AL502" s="1" t="str">
        <f t="shared" si="48"/>
        <v>2. Good</v>
      </c>
    </row>
    <row r="503" spans="1:38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f t="shared" si="43"/>
        <v>0</v>
      </c>
      <c r="AH503" t="str">
        <f t="shared" si="44"/>
        <v>26-35</v>
      </c>
      <c r="AI503" t="str">
        <f t="shared" si="45"/>
        <v>1. Under 3K</v>
      </c>
      <c r="AJ503" s="1" t="str">
        <f t="shared" si="46"/>
        <v>1. 0-1 yrs</v>
      </c>
      <c r="AK503" s="1" t="str">
        <f t="shared" si="47"/>
        <v>3. High</v>
      </c>
      <c r="AL503" s="1" t="str">
        <f t="shared" si="48"/>
        <v>3. Better</v>
      </c>
    </row>
    <row r="504" spans="1:38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f t="shared" si="43"/>
        <v>0</v>
      </c>
      <c r="AH504" t="str">
        <f t="shared" si="44"/>
        <v>46-55</v>
      </c>
      <c r="AI504" t="str">
        <f t="shared" si="45"/>
        <v>3. 6K-10K</v>
      </c>
      <c r="AJ504" s="1" t="str">
        <f t="shared" si="46"/>
        <v>4. 10+ yrs</v>
      </c>
      <c r="AK504" s="1" t="str">
        <f t="shared" si="47"/>
        <v>1. Low</v>
      </c>
      <c r="AL504" s="1" t="str">
        <f t="shared" si="48"/>
        <v>4. Best</v>
      </c>
    </row>
    <row r="505" spans="1:38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f t="shared" si="43"/>
        <v>0</v>
      </c>
      <c r="AH505" t="str">
        <f t="shared" si="44"/>
        <v>26-35</v>
      </c>
      <c r="AI505" t="str">
        <f t="shared" si="45"/>
        <v>1. Under 3K</v>
      </c>
      <c r="AJ505" s="1" t="str">
        <f t="shared" si="46"/>
        <v>3. 6-10 yrs</v>
      </c>
      <c r="AK505" s="1" t="str">
        <f t="shared" si="47"/>
        <v>4. Very High</v>
      </c>
      <c r="AL505" s="1" t="str">
        <f t="shared" si="48"/>
        <v>2. Good</v>
      </c>
    </row>
    <row r="506" spans="1:38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f t="shared" si="43"/>
        <v>1</v>
      </c>
      <c r="AH506" t="str">
        <f t="shared" si="44"/>
        <v>36-45</v>
      </c>
      <c r="AI506" t="str">
        <f t="shared" si="45"/>
        <v>2. 3K-6K</v>
      </c>
      <c r="AJ506" s="1" t="str">
        <f t="shared" si="46"/>
        <v>1. 0-1 yrs</v>
      </c>
      <c r="AK506" s="1" t="str">
        <f t="shared" si="47"/>
        <v>1. Low</v>
      </c>
      <c r="AL506" s="1" t="str">
        <f t="shared" si="48"/>
        <v>3. Better</v>
      </c>
    </row>
    <row r="507" spans="1:38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f t="shared" si="43"/>
        <v>0</v>
      </c>
      <c r="AH507" t="str">
        <f t="shared" si="44"/>
        <v>26-35</v>
      </c>
      <c r="AI507" t="str">
        <f t="shared" si="45"/>
        <v>1. Under 3K</v>
      </c>
      <c r="AJ507" s="1" t="str">
        <f t="shared" si="46"/>
        <v>2. 2-5 yrs</v>
      </c>
      <c r="AK507" s="1" t="str">
        <f t="shared" si="47"/>
        <v>4. Very High</v>
      </c>
      <c r="AL507" s="1" t="str">
        <f t="shared" si="48"/>
        <v>3. Better</v>
      </c>
    </row>
    <row r="508" spans="1:38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f t="shared" si="43"/>
        <v>0</v>
      </c>
      <c r="AH508" t="str">
        <f t="shared" si="44"/>
        <v>36-45</v>
      </c>
      <c r="AI508" t="str">
        <f t="shared" si="45"/>
        <v>3. 6K-10K</v>
      </c>
      <c r="AJ508" s="1" t="str">
        <f t="shared" si="46"/>
        <v>3. 6-10 yrs</v>
      </c>
      <c r="AK508" s="1" t="str">
        <f t="shared" si="47"/>
        <v>3. High</v>
      </c>
      <c r="AL508" s="1" t="str">
        <f t="shared" si="48"/>
        <v>3. Better</v>
      </c>
    </row>
    <row r="509" spans="1:38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f t="shared" si="43"/>
        <v>0</v>
      </c>
      <c r="AH509" t="str">
        <f t="shared" si="44"/>
        <v>26-35</v>
      </c>
      <c r="AI509" t="str">
        <f t="shared" si="45"/>
        <v>2. 3K-6K</v>
      </c>
      <c r="AJ509" s="1" t="str">
        <f t="shared" si="46"/>
        <v>3. 6-10 yrs</v>
      </c>
      <c r="AK509" s="1" t="str">
        <f t="shared" si="47"/>
        <v>3. High</v>
      </c>
      <c r="AL509" s="1" t="str">
        <f t="shared" si="48"/>
        <v>2. Good</v>
      </c>
    </row>
    <row r="510" spans="1:38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f t="shared" si="43"/>
        <v>0</v>
      </c>
      <c r="AH510" t="str">
        <f t="shared" si="44"/>
        <v>26-35</v>
      </c>
      <c r="AI510" t="str">
        <f t="shared" si="45"/>
        <v>3. 6K-10K</v>
      </c>
      <c r="AJ510" s="1" t="str">
        <f t="shared" si="46"/>
        <v>4. 10+ yrs</v>
      </c>
      <c r="AK510" s="1" t="str">
        <f t="shared" si="47"/>
        <v>4. Very High</v>
      </c>
      <c r="AL510" s="1" t="str">
        <f t="shared" si="48"/>
        <v>3. Better</v>
      </c>
    </row>
    <row r="511" spans="1:38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f t="shared" si="43"/>
        <v>0</v>
      </c>
      <c r="AH511" t="str">
        <f t="shared" si="44"/>
        <v>26-35</v>
      </c>
      <c r="AI511" t="str">
        <f t="shared" si="45"/>
        <v>3. 6K-10K</v>
      </c>
      <c r="AJ511" s="1" t="str">
        <f t="shared" si="46"/>
        <v>4. 10+ yrs</v>
      </c>
      <c r="AK511" s="1" t="str">
        <f t="shared" si="47"/>
        <v>4. Very High</v>
      </c>
      <c r="AL511" s="1" t="str">
        <f t="shared" si="48"/>
        <v>1. Bad</v>
      </c>
    </row>
    <row r="512" spans="1:38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f t="shared" si="43"/>
        <v>0</v>
      </c>
      <c r="AH512" t="str">
        <f t="shared" si="44"/>
        <v>46-55</v>
      </c>
      <c r="AI512" t="str">
        <f t="shared" si="45"/>
        <v>4. 10K+</v>
      </c>
      <c r="AJ512" s="1" t="str">
        <f t="shared" si="46"/>
        <v>3. 6-10 yrs</v>
      </c>
      <c r="AK512" s="1" t="str">
        <f t="shared" si="47"/>
        <v>2. Medium</v>
      </c>
      <c r="AL512" s="1" t="str">
        <f t="shared" si="48"/>
        <v>4. Best</v>
      </c>
    </row>
    <row r="513" spans="1:38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f t="shared" si="43"/>
        <v>0</v>
      </c>
      <c r="AH513" t="str">
        <f t="shared" si="44"/>
        <v>36-45</v>
      </c>
      <c r="AI513" t="str">
        <f t="shared" si="45"/>
        <v>3. 6K-10K</v>
      </c>
      <c r="AJ513" s="1" t="str">
        <f t="shared" si="46"/>
        <v>2. 2-5 yrs</v>
      </c>
      <c r="AK513" s="1" t="str">
        <f t="shared" si="47"/>
        <v>2. Medium</v>
      </c>
      <c r="AL513" s="1" t="str">
        <f t="shared" si="48"/>
        <v>3. Better</v>
      </c>
    </row>
    <row r="514" spans="1:38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f t="shared" ref="AG514:AG577" si="49">IF(B514="Yes",1,0)</f>
        <v>0</v>
      </c>
      <c r="AH514" t="str">
        <f t="shared" ref="AH514:AH577" si="50">IF(A514&lt;26,"18-25",IF(A514&lt;36,"26-35",IF(A514&lt;46,"36-45",IF(A514&lt;56,"46-55","56+"))))</f>
        <v>26-35</v>
      </c>
      <c r="AI514" t="str">
        <f t="shared" ref="AI514:AI577" si="51">IF(R514&lt;3000,"1. Under 3K",IF(R514&lt;6000,"2. 3K-6K",IF(R514&lt;10000,"3. 6K-10K","4. 10K+")))</f>
        <v>1. Under 3K</v>
      </c>
      <c r="AJ514" s="1" t="str">
        <f t="shared" ref="AJ514:AJ577" si="52">IF(AC514&lt;2,"1. 0-1 yrs",IF(AC514&lt;6,"2. 2-5 yrs",IF(AC514&lt;11,"3. 6-10 yrs","4. 10+ yrs")))</f>
        <v>2. 2-5 yrs</v>
      </c>
      <c r="AK514" s="1" t="str">
        <f t="shared" ref="AK514:AK577" si="53">CHOOSE(P514,"1. Low","2. Medium","3. High","4. Very High")</f>
        <v>4. Very High</v>
      </c>
      <c r="AL514" s="1" t="str">
        <f t="shared" ref="AL514:AL577" si="54">CHOOSE(AB514,"1. Bad","2. Good","3. Better","4. Best")</f>
        <v>3. Better</v>
      </c>
    </row>
    <row r="515" spans="1:38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f t="shared" si="49"/>
        <v>1</v>
      </c>
      <c r="AH515" t="str">
        <f t="shared" si="50"/>
        <v>18-25</v>
      </c>
      <c r="AI515" t="str">
        <f t="shared" si="51"/>
        <v>1. Under 3K</v>
      </c>
      <c r="AJ515" s="1" t="str">
        <f t="shared" si="52"/>
        <v>1. 0-1 yrs</v>
      </c>
      <c r="AK515" s="1" t="str">
        <f t="shared" si="53"/>
        <v>3. High</v>
      </c>
      <c r="AL515" s="1" t="str">
        <f t="shared" si="54"/>
        <v>3. Better</v>
      </c>
    </row>
    <row r="516" spans="1:38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f t="shared" si="49"/>
        <v>1</v>
      </c>
      <c r="AH516" t="str">
        <f t="shared" si="50"/>
        <v>26-35</v>
      </c>
      <c r="AI516" t="str">
        <f t="shared" si="51"/>
        <v>2. 3K-6K</v>
      </c>
      <c r="AJ516" s="1" t="str">
        <f t="shared" si="52"/>
        <v>3. 6-10 yrs</v>
      </c>
      <c r="AK516" s="1" t="str">
        <f t="shared" si="53"/>
        <v>1. Low</v>
      </c>
      <c r="AL516" s="1" t="str">
        <f t="shared" si="54"/>
        <v>3. Better</v>
      </c>
    </row>
    <row r="517" spans="1:38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f t="shared" si="49"/>
        <v>0</v>
      </c>
      <c r="AH517" t="str">
        <f t="shared" si="50"/>
        <v>26-35</v>
      </c>
      <c r="AI517" t="str">
        <f t="shared" si="51"/>
        <v>1. Under 3K</v>
      </c>
      <c r="AJ517" s="1" t="str">
        <f t="shared" si="52"/>
        <v>1. 0-1 yrs</v>
      </c>
      <c r="AK517" s="1" t="str">
        <f t="shared" si="53"/>
        <v>3. High</v>
      </c>
      <c r="AL517" s="1" t="str">
        <f t="shared" si="54"/>
        <v>3. Better</v>
      </c>
    </row>
    <row r="518" spans="1:38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f t="shared" si="49"/>
        <v>0</v>
      </c>
      <c r="AH518" t="str">
        <f t="shared" si="50"/>
        <v>18-25</v>
      </c>
      <c r="AI518" t="str">
        <f t="shared" si="51"/>
        <v>1. Under 3K</v>
      </c>
      <c r="AJ518" s="1" t="str">
        <f t="shared" si="52"/>
        <v>2. 2-5 yrs</v>
      </c>
      <c r="AK518" s="1" t="str">
        <f t="shared" si="53"/>
        <v>1. Low</v>
      </c>
      <c r="AL518" s="1" t="str">
        <f t="shared" si="54"/>
        <v>4. Best</v>
      </c>
    </row>
    <row r="519" spans="1:38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f t="shared" si="49"/>
        <v>0</v>
      </c>
      <c r="AH519" t="str">
        <f t="shared" si="50"/>
        <v>18-25</v>
      </c>
      <c r="AI519" t="str">
        <f t="shared" si="51"/>
        <v>2. 3K-6K</v>
      </c>
      <c r="AJ519" s="1" t="str">
        <f t="shared" si="52"/>
        <v>2. 2-5 yrs</v>
      </c>
      <c r="AK519" s="1" t="str">
        <f t="shared" si="53"/>
        <v>2. Medium</v>
      </c>
      <c r="AL519" s="1" t="str">
        <f t="shared" si="54"/>
        <v>3. Better</v>
      </c>
    </row>
    <row r="520" spans="1:38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f t="shared" si="49"/>
        <v>0</v>
      </c>
      <c r="AH520" t="str">
        <f t="shared" si="50"/>
        <v>36-45</v>
      </c>
      <c r="AI520" t="str">
        <f t="shared" si="51"/>
        <v>2. 3K-6K</v>
      </c>
      <c r="AJ520" s="1" t="str">
        <f t="shared" si="52"/>
        <v>3. 6-10 yrs</v>
      </c>
      <c r="AK520" s="1" t="str">
        <f t="shared" si="53"/>
        <v>4. Very High</v>
      </c>
      <c r="AL520" s="1" t="str">
        <f t="shared" si="54"/>
        <v>3. Better</v>
      </c>
    </row>
    <row r="521" spans="1:38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f t="shared" si="49"/>
        <v>0</v>
      </c>
      <c r="AH521" t="str">
        <f t="shared" si="50"/>
        <v>26-35</v>
      </c>
      <c r="AI521" t="str">
        <f t="shared" si="51"/>
        <v>1. Under 3K</v>
      </c>
      <c r="AJ521" s="1" t="str">
        <f t="shared" si="52"/>
        <v>3. 6-10 yrs</v>
      </c>
      <c r="AK521" s="1" t="str">
        <f t="shared" si="53"/>
        <v>4. Very High</v>
      </c>
      <c r="AL521" s="1" t="str">
        <f t="shared" si="54"/>
        <v>3. Better</v>
      </c>
    </row>
    <row r="522" spans="1:38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f t="shared" si="49"/>
        <v>0</v>
      </c>
      <c r="AH522" t="str">
        <f t="shared" si="50"/>
        <v>46-55</v>
      </c>
      <c r="AI522" t="str">
        <f t="shared" si="51"/>
        <v>3. 6K-10K</v>
      </c>
      <c r="AJ522" s="1" t="str">
        <f t="shared" si="52"/>
        <v>2. 2-5 yrs</v>
      </c>
      <c r="AK522" s="1" t="str">
        <f t="shared" si="53"/>
        <v>2. Medium</v>
      </c>
      <c r="AL522" s="1" t="str">
        <f t="shared" si="54"/>
        <v>3. Better</v>
      </c>
    </row>
    <row r="523" spans="1:38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f t="shared" si="49"/>
        <v>0</v>
      </c>
      <c r="AH523" t="str">
        <f t="shared" si="50"/>
        <v>26-35</v>
      </c>
      <c r="AI523" t="str">
        <f t="shared" si="51"/>
        <v>2. 3K-6K</v>
      </c>
      <c r="AJ523" s="1" t="str">
        <f t="shared" si="52"/>
        <v>3. 6-10 yrs</v>
      </c>
      <c r="AK523" s="1" t="str">
        <f t="shared" si="53"/>
        <v>4. Very High</v>
      </c>
      <c r="AL523" s="1" t="str">
        <f t="shared" si="54"/>
        <v>3. Better</v>
      </c>
    </row>
    <row r="524" spans="1:38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f t="shared" si="49"/>
        <v>0</v>
      </c>
      <c r="AH524" t="str">
        <f t="shared" si="50"/>
        <v>36-45</v>
      </c>
      <c r="AI524" t="str">
        <f t="shared" si="51"/>
        <v>2. 3K-6K</v>
      </c>
      <c r="AJ524" s="1" t="str">
        <f t="shared" si="52"/>
        <v>1. 0-1 yrs</v>
      </c>
      <c r="AK524" s="1" t="str">
        <f t="shared" si="53"/>
        <v>4. Very High</v>
      </c>
      <c r="AL524" s="1" t="str">
        <f t="shared" si="54"/>
        <v>3. Better</v>
      </c>
    </row>
    <row r="525" spans="1:38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f t="shared" si="49"/>
        <v>0</v>
      </c>
      <c r="AH525" t="str">
        <f t="shared" si="50"/>
        <v>46-55</v>
      </c>
      <c r="AI525" t="str">
        <f t="shared" si="51"/>
        <v>2. 3K-6K</v>
      </c>
      <c r="AJ525" s="1" t="str">
        <f t="shared" si="52"/>
        <v>4. 10+ yrs</v>
      </c>
      <c r="AK525" s="1" t="str">
        <f t="shared" si="53"/>
        <v>3. High</v>
      </c>
      <c r="AL525" s="1" t="str">
        <f t="shared" si="54"/>
        <v>3. Better</v>
      </c>
    </row>
    <row r="526" spans="1:38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f t="shared" si="49"/>
        <v>0</v>
      </c>
      <c r="AH526" t="str">
        <f t="shared" si="50"/>
        <v>26-35</v>
      </c>
      <c r="AI526" t="str">
        <f t="shared" si="51"/>
        <v>3. 6K-10K</v>
      </c>
      <c r="AJ526" s="1" t="str">
        <f t="shared" si="52"/>
        <v>3. 6-10 yrs</v>
      </c>
      <c r="AK526" s="1" t="str">
        <f t="shared" si="53"/>
        <v>2. Medium</v>
      </c>
      <c r="AL526" s="1" t="str">
        <f t="shared" si="54"/>
        <v>4. Best</v>
      </c>
    </row>
    <row r="527" spans="1:38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f t="shared" si="49"/>
        <v>1</v>
      </c>
      <c r="AH527" t="str">
        <f t="shared" si="50"/>
        <v>18-25</v>
      </c>
      <c r="AI527" t="str">
        <f t="shared" si="51"/>
        <v>2. 3K-6K</v>
      </c>
      <c r="AJ527" s="1" t="str">
        <f t="shared" si="52"/>
        <v>2. 2-5 yrs</v>
      </c>
      <c r="AK527" s="1" t="str">
        <f t="shared" si="53"/>
        <v>3. High</v>
      </c>
      <c r="AL527" s="1" t="str">
        <f t="shared" si="54"/>
        <v>3. Better</v>
      </c>
    </row>
    <row r="528" spans="1:38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f t="shared" si="49"/>
        <v>0</v>
      </c>
      <c r="AH528" t="str">
        <f t="shared" si="50"/>
        <v>36-45</v>
      </c>
      <c r="AI528" t="str">
        <f t="shared" si="51"/>
        <v>2. 3K-6K</v>
      </c>
      <c r="AJ528" s="1" t="str">
        <f t="shared" si="52"/>
        <v>4. 10+ yrs</v>
      </c>
      <c r="AK528" s="1" t="str">
        <f t="shared" si="53"/>
        <v>3. High</v>
      </c>
      <c r="AL528" s="1" t="str">
        <f t="shared" si="54"/>
        <v>3. Better</v>
      </c>
    </row>
    <row r="529" spans="1:38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f t="shared" si="49"/>
        <v>0</v>
      </c>
      <c r="AH529" t="str">
        <f t="shared" si="50"/>
        <v>26-35</v>
      </c>
      <c r="AI529" t="str">
        <f t="shared" si="51"/>
        <v>2. 3K-6K</v>
      </c>
      <c r="AJ529" s="1" t="str">
        <f t="shared" si="52"/>
        <v>3. 6-10 yrs</v>
      </c>
      <c r="AK529" s="1" t="str">
        <f t="shared" si="53"/>
        <v>4. Very High</v>
      </c>
      <c r="AL529" s="1" t="str">
        <f t="shared" si="54"/>
        <v>2. Good</v>
      </c>
    </row>
    <row r="530" spans="1:38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f t="shared" si="49"/>
        <v>1</v>
      </c>
      <c r="AH530" t="str">
        <f t="shared" si="50"/>
        <v>46-55</v>
      </c>
      <c r="AI530" t="str">
        <f t="shared" si="51"/>
        <v>3. 6K-10K</v>
      </c>
      <c r="AJ530" s="1" t="str">
        <f t="shared" si="52"/>
        <v>2. 2-5 yrs</v>
      </c>
      <c r="AK530" s="1" t="str">
        <f t="shared" si="53"/>
        <v>3. High</v>
      </c>
      <c r="AL530" s="1" t="str">
        <f t="shared" si="54"/>
        <v>3. Better</v>
      </c>
    </row>
    <row r="531" spans="1:38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f t="shared" si="49"/>
        <v>0</v>
      </c>
      <c r="AH531" t="str">
        <f t="shared" si="50"/>
        <v>36-45</v>
      </c>
      <c r="AI531" t="str">
        <f t="shared" si="51"/>
        <v>3. 6K-10K</v>
      </c>
      <c r="AJ531" s="1" t="str">
        <f t="shared" si="52"/>
        <v>3. 6-10 yrs</v>
      </c>
      <c r="AK531" s="1" t="str">
        <f t="shared" si="53"/>
        <v>4. Very High</v>
      </c>
      <c r="AL531" s="1" t="str">
        <f t="shared" si="54"/>
        <v>2. Good</v>
      </c>
    </row>
    <row r="532" spans="1:38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f t="shared" si="49"/>
        <v>0</v>
      </c>
      <c r="AH532" t="str">
        <f t="shared" si="50"/>
        <v>26-35</v>
      </c>
      <c r="AI532" t="str">
        <f t="shared" si="51"/>
        <v>3. 6K-10K</v>
      </c>
      <c r="AJ532" s="1" t="str">
        <f t="shared" si="52"/>
        <v>3. 6-10 yrs</v>
      </c>
      <c r="AK532" s="1" t="str">
        <f t="shared" si="53"/>
        <v>1. Low</v>
      </c>
      <c r="AL532" s="1" t="str">
        <f t="shared" si="54"/>
        <v>3. Better</v>
      </c>
    </row>
    <row r="533" spans="1:38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f t="shared" si="49"/>
        <v>0</v>
      </c>
      <c r="AH533" t="str">
        <f t="shared" si="50"/>
        <v>26-35</v>
      </c>
      <c r="AI533" t="str">
        <f t="shared" si="51"/>
        <v>4. 10K+</v>
      </c>
      <c r="AJ533" s="1" t="str">
        <f t="shared" si="52"/>
        <v>3. 6-10 yrs</v>
      </c>
      <c r="AK533" s="1" t="str">
        <f t="shared" si="53"/>
        <v>4. Very High</v>
      </c>
      <c r="AL533" s="1" t="str">
        <f t="shared" si="54"/>
        <v>3. Better</v>
      </c>
    </row>
    <row r="534" spans="1:38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f t="shared" si="49"/>
        <v>0</v>
      </c>
      <c r="AH534" t="str">
        <f t="shared" si="50"/>
        <v>46-55</v>
      </c>
      <c r="AI534" t="str">
        <f t="shared" si="51"/>
        <v>2. 3K-6K</v>
      </c>
      <c r="AJ534" s="1" t="str">
        <f t="shared" si="52"/>
        <v>3. 6-10 yrs</v>
      </c>
      <c r="AK534" s="1" t="str">
        <f t="shared" si="53"/>
        <v>1. Low</v>
      </c>
      <c r="AL534" s="1" t="str">
        <f t="shared" si="54"/>
        <v>3. Better</v>
      </c>
    </row>
    <row r="535" spans="1:38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f t="shared" si="49"/>
        <v>0</v>
      </c>
      <c r="AH535" t="str">
        <f t="shared" si="50"/>
        <v>36-45</v>
      </c>
      <c r="AI535" t="str">
        <f t="shared" si="51"/>
        <v>4. 10K+</v>
      </c>
      <c r="AJ535" s="1" t="str">
        <f t="shared" si="52"/>
        <v>4. 10+ yrs</v>
      </c>
      <c r="AK535" s="1" t="str">
        <f t="shared" si="53"/>
        <v>1. Low</v>
      </c>
      <c r="AL535" s="1" t="str">
        <f t="shared" si="54"/>
        <v>3. Better</v>
      </c>
    </row>
    <row r="536" spans="1:38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f t="shared" si="49"/>
        <v>0</v>
      </c>
      <c r="AH536" t="str">
        <f t="shared" si="50"/>
        <v>46-55</v>
      </c>
      <c r="AI536" t="str">
        <f t="shared" si="51"/>
        <v>4. 10K+</v>
      </c>
      <c r="AJ536" s="1" t="str">
        <f t="shared" si="52"/>
        <v>2. 2-5 yrs</v>
      </c>
      <c r="AK536" s="1" t="str">
        <f t="shared" si="53"/>
        <v>3. High</v>
      </c>
      <c r="AL536" s="1" t="str">
        <f t="shared" si="54"/>
        <v>3. Better</v>
      </c>
    </row>
    <row r="537" spans="1:38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f t="shared" si="49"/>
        <v>0</v>
      </c>
      <c r="AH537" t="str">
        <f t="shared" si="50"/>
        <v>36-45</v>
      </c>
      <c r="AI537" t="str">
        <f t="shared" si="51"/>
        <v>4. 10K+</v>
      </c>
      <c r="AJ537" s="1" t="str">
        <f t="shared" si="52"/>
        <v>4. 10+ yrs</v>
      </c>
      <c r="AK537" s="1" t="str">
        <f t="shared" si="53"/>
        <v>4. Very High</v>
      </c>
      <c r="AL537" s="1" t="str">
        <f t="shared" si="54"/>
        <v>2. Good</v>
      </c>
    </row>
    <row r="538" spans="1:38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f t="shared" si="49"/>
        <v>0</v>
      </c>
      <c r="AH538" t="str">
        <f t="shared" si="50"/>
        <v>56+</v>
      </c>
      <c r="AI538" t="str">
        <f t="shared" si="51"/>
        <v>2. 3K-6K</v>
      </c>
      <c r="AJ538" s="1" t="str">
        <f t="shared" si="52"/>
        <v>2. 2-5 yrs</v>
      </c>
      <c r="AK538" s="1" t="str">
        <f t="shared" si="53"/>
        <v>1. Low</v>
      </c>
      <c r="AL538" s="1" t="str">
        <f t="shared" si="54"/>
        <v>3. Better</v>
      </c>
    </row>
    <row r="539" spans="1:38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f t="shared" si="49"/>
        <v>0</v>
      </c>
      <c r="AH539" t="str">
        <f t="shared" si="50"/>
        <v>26-35</v>
      </c>
      <c r="AI539" t="str">
        <f t="shared" si="51"/>
        <v>3. 6K-10K</v>
      </c>
      <c r="AJ539" s="1" t="str">
        <f t="shared" si="52"/>
        <v>3. 6-10 yrs</v>
      </c>
      <c r="AK539" s="1" t="str">
        <f t="shared" si="53"/>
        <v>1. Low</v>
      </c>
      <c r="AL539" s="1" t="str">
        <f t="shared" si="54"/>
        <v>2. Good</v>
      </c>
    </row>
    <row r="540" spans="1:38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f t="shared" si="49"/>
        <v>0</v>
      </c>
      <c r="AH540" t="str">
        <f t="shared" si="50"/>
        <v>36-45</v>
      </c>
      <c r="AI540" t="str">
        <f t="shared" si="51"/>
        <v>4. 10K+</v>
      </c>
      <c r="AJ540" s="1" t="str">
        <f t="shared" si="52"/>
        <v>4. 10+ yrs</v>
      </c>
      <c r="AK540" s="1" t="str">
        <f t="shared" si="53"/>
        <v>3. High</v>
      </c>
      <c r="AL540" s="1" t="str">
        <f t="shared" si="54"/>
        <v>3. Better</v>
      </c>
    </row>
    <row r="541" spans="1:38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f t="shared" si="49"/>
        <v>0</v>
      </c>
      <c r="AH541" t="str">
        <f t="shared" si="50"/>
        <v>46-55</v>
      </c>
      <c r="AI541" t="str">
        <f t="shared" si="51"/>
        <v>2. 3K-6K</v>
      </c>
      <c r="AJ541" s="1" t="str">
        <f t="shared" si="52"/>
        <v>2. 2-5 yrs</v>
      </c>
      <c r="AK541" s="1" t="str">
        <f t="shared" si="53"/>
        <v>2. Medium</v>
      </c>
      <c r="AL541" s="1" t="str">
        <f t="shared" si="54"/>
        <v>3. Better</v>
      </c>
    </row>
    <row r="542" spans="1:38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f t="shared" si="49"/>
        <v>1</v>
      </c>
      <c r="AH542" t="str">
        <f t="shared" si="50"/>
        <v>26-35</v>
      </c>
      <c r="AI542" t="str">
        <f t="shared" si="51"/>
        <v>1. Under 3K</v>
      </c>
      <c r="AJ542" s="1" t="str">
        <f t="shared" si="52"/>
        <v>3. 6-10 yrs</v>
      </c>
      <c r="AK542" s="1" t="str">
        <f t="shared" si="53"/>
        <v>2. Medium</v>
      </c>
      <c r="AL542" s="1" t="str">
        <f t="shared" si="54"/>
        <v>3. Better</v>
      </c>
    </row>
    <row r="543" spans="1:38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f t="shared" si="49"/>
        <v>0</v>
      </c>
      <c r="AH543" t="str">
        <f t="shared" si="50"/>
        <v>36-45</v>
      </c>
      <c r="AI543" t="str">
        <f t="shared" si="51"/>
        <v>4. 10K+</v>
      </c>
      <c r="AJ543" s="1" t="str">
        <f t="shared" si="52"/>
        <v>3. 6-10 yrs</v>
      </c>
      <c r="AK543" s="1" t="str">
        <f t="shared" si="53"/>
        <v>1. Low</v>
      </c>
      <c r="AL543" s="1" t="str">
        <f t="shared" si="54"/>
        <v>3. Better</v>
      </c>
    </row>
    <row r="544" spans="1:38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f t="shared" si="49"/>
        <v>0</v>
      </c>
      <c r="AH544" t="str">
        <f t="shared" si="50"/>
        <v>36-45</v>
      </c>
      <c r="AI544" t="str">
        <f t="shared" si="51"/>
        <v>3. 6K-10K</v>
      </c>
      <c r="AJ544" s="1" t="str">
        <f t="shared" si="52"/>
        <v>1. 0-1 yrs</v>
      </c>
      <c r="AK544" s="1" t="str">
        <f t="shared" si="53"/>
        <v>3. High</v>
      </c>
      <c r="AL544" s="1" t="str">
        <f t="shared" si="54"/>
        <v>4. Best</v>
      </c>
    </row>
    <row r="545" spans="1:38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f t="shared" si="49"/>
        <v>0</v>
      </c>
      <c r="AH545" t="str">
        <f t="shared" si="50"/>
        <v>36-45</v>
      </c>
      <c r="AI545" t="str">
        <f t="shared" si="51"/>
        <v>2. 3K-6K</v>
      </c>
      <c r="AJ545" s="1" t="str">
        <f t="shared" si="52"/>
        <v>2. 2-5 yrs</v>
      </c>
      <c r="AK545" s="1" t="str">
        <f t="shared" si="53"/>
        <v>3. High</v>
      </c>
      <c r="AL545" s="1" t="str">
        <f t="shared" si="54"/>
        <v>3. Better</v>
      </c>
    </row>
    <row r="546" spans="1:38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f t="shared" si="49"/>
        <v>0</v>
      </c>
      <c r="AH546" t="str">
        <f t="shared" si="50"/>
        <v>46-55</v>
      </c>
      <c r="AI546" t="str">
        <f t="shared" si="51"/>
        <v>4. 10K+</v>
      </c>
      <c r="AJ546" s="1" t="str">
        <f t="shared" si="52"/>
        <v>4. 10+ yrs</v>
      </c>
      <c r="AK546" s="1" t="str">
        <f t="shared" si="53"/>
        <v>3. High</v>
      </c>
      <c r="AL546" s="1" t="str">
        <f t="shared" si="54"/>
        <v>2. Good</v>
      </c>
    </row>
    <row r="547" spans="1:38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f t="shared" si="49"/>
        <v>0</v>
      </c>
      <c r="AH547" t="str">
        <f t="shared" si="50"/>
        <v>26-35</v>
      </c>
      <c r="AI547" t="str">
        <f t="shared" si="51"/>
        <v>2. 3K-6K</v>
      </c>
      <c r="AJ547" s="1" t="str">
        <f t="shared" si="52"/>
        <v>3. 6-10 yrs</v>
      </c>
      <c r="AK547" s="1" t="str">
        <f t="shared" si="53"/>
        <v>4. Very High</v>
      </c>
      <c r="AL547" s="1" t="str">
        <f t="shared" si="54"/>
        <v>2. Good</v>
      </c>
    </row>
    <row r="548" spans="1:38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f t="shared" si="49"/>
        <v>0</v>
      </c>
      <c r="AH548" t="str">
        <f t="shared" si="50"/>
        <v>26-35</v>
      </c>
      <c r="AI548" t="str">
        <f t="shared" si="51"/>
        <v>1. Under 3K</v>
      </c>
      <c r="AJ548" s="1" t="str">
        <f t="shared" si="52"/>
        <v>1. 0-1 yrs</v>
      </c>
      <c r="AK548" s="1" t="str">
        <f t="shared" si="53"/>
        <v>3. High</v>
      </c>
      <c r="AL548" s="1" t="str">
        <f t="shared" si="54"/>
        <v>3. Better</v>
      </c>
    </row>
    <row r="549" spans="1:38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f t="shared" si="49"/>
        <v>1</v>
      </c>
      <c r="AH549" t="str">
        <f t="shared" si="50"/>
        <v>36-45</v>
      </c>
      <c r="AI549" t="str">
        <f t="shared" si="51"/>
        <v>1. Under 3K</v>
      </c>
      <c r="AJ549" s="1" t="str">
        <f t="shared" si="52"/>
        <v>2. 2-5 yrs</v>
      </c>
      <c r="AK549" s="1" t="str">
        <f t="shared" si="53"/>
        <v>3. High</v>
      </c>
      <c r="AL549" s="1" t="str">
        <f t="shared" si="54"/>
        <v>3. Better</v>
      </c>
    </row>
    <row r="550" spans="1:38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f t="shared" si="49"/>
        <v>0</v>
      </c>
      <c r="AH550" t="str">
        <f t="shared" si="50"/>
        <v>36-45</v>
      </c>
      <c r="AI550" t="str">
        <f t="shared" si="51"/>
        <v>3. 6K-10K</v>
      </c>
      <c r="AJ550" s="1" t="str">
        <f t="shared" si="52"/>
        <v>2. 2-5 yrs</v>
      </c>
      <c r="AK550" s="1" t="str">
        <f t="shared" si="53"/>
        <v>4. Very High</v>
      </c>
      <c r="AL550" s="1" t="str">
        <f t="shared" si="54"/>
        <v>3. Better</v>
      </c>
    </row>
    <row r="551" spans="1:38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f t="shared" si="49"/>
        <v>0</v>
      </c>
      <c r="AH551" t="str">
        <f t="shared" si="50"/>
        <v>26-35</v>
      </c>
      <c r="AI551" t="str">
        <f t="shared" si="51"/>
        <v>3. 6K-10K</v>
      </c>
      <c r="AJ551" s="1" t="str">
        <f t="shared" si="52"/>
        <v>2. 2-5 yrs</v>
      </c>
      <c r="AK551" s="1" t="str">
        <f t="shared" si="53"/>
        <v>3. High</v>
      </c>
      <c r="AL551" s="1" t="str">
        <f t="shared" si="54"/>
        <v>3. Better</v>
      </c>
    </row>
    <row r="552" spans="1:38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f t="shared" si="49"/>
        <v>0</v>
      </c>
      <c r="AH552" t="str">
        <f t="shared" si="50"/>
        <v>18-25</v>
      </c>
      <c r="AI552" t="str">
        <f t="shared" si="51"/>
        <v>1. Under 3K</v>
      </c>
      <c r="AJ552" s="1" t="str">
        <f t="shared" si="52"/>
        <v>2. 2-5 yrs</v>
      </c>
      <c r="AK552" s="1" t="str">
        <f t="shared" si="53"/>
        <v>1. Low</v>
      </c>
      <c r="AL552" s="1" t="str">
        <f t="shared" si="54"/>
        <v>4. Best</v>
      </c>
    </row>
    <row r="553" spans="1:38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f t="shared" si="49"/>
        <v>0</v>
      </c>
      <c r="AH553" t="str">
        <f t="shared" si="50"/>
        <v>36-45</v>
      </c>
      <c r="AI553" t="str">
        <f t="shared" si="51"/>
        <v>3. 6K-10K</v>
      </c>
      <c r="AJ553" s="1" t="str">
        <f t="shared" si="52"/>
        <v>3. 6-10 yrs</v>
      </c>
      <c r="AK553" s="1" t="str">
        <f t="shared" si="53"/>
        <v>2. Medium</v>
      </c>
      <c r="AL553" s="1" t="str">
        <f t="shared" si="54"/>
        <v>1. Bad</v>
      </c>
    </row>
    <row r="554" spans="1:38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f t="shared" si="49"/>
        <v>0</v>
      </c>
      <c r="AH554" t="str">
        <f t="shared" si="50"/>
        <v>56+</v>
      </c>
      <c r="AI554" t="str">
        <f t="shared" si="51"/>
        <v>4. 10K+</v>
      </c>
      <c r="AJ554" s="1" t="str">
        <f t="shared" si="52"/>
        <v>3. 6-10 yrs</v>
      </c>
      <c r="AK554" s="1" t="str">
        <f t="shared" si="53"/>
        <v>4. Very High</v>
      </c>
      <c r="AL554" s="1" t="str">
        <f t="shared" si="54"/>
        <v>2. Good</v>
      </c>
    </row>
    <row r="555" spans="1:38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f t="shared" si="49"/>
        <v>0</v>
      </c>
      <c r="AH555" t="str">
        <f t="shared" si="50"/>
        <v>36-45</v>
      </c>
      <c r="AI555" t="str">
        <f t="shared" si="51"/>
        <v>1. Under 3K</v>
      </c>
      <c r="AJ555" s="1" t="str">
        <f t="shared" si="52"/>
        <v>2. 2-5 yrs</v>
      </c>
      <c r="AK555" s="1" t="str">
        <f t="shared" si="53"/>
        <v>4. Very High</v>
      </c>
      <c r="AL555" s="1" t="str">
        <f t="shared" si="54"/>
        <v>2. Good</v>
      </c>
    </row>
    <row r="556" spans="1:38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f t="shared" si="49"/>
        <v>0</v>
      </c>
      <c r="AH556" t="str">
        <f t="shared" si="50"/>
        <v>26-35</v>
      </c>
      <c r="AI556" t="str">
        <f t="shared" si="51"/>
        <v>3. 6K-10K</v>
      </c>
      <c r="AJ556" s="1" t="str">
        <f t="shared" si="52"/>
        <v>3. 6-10 yrs</v>
      </c>
      <c r="AK556" s="1" t="str">
        <f t="shared" si="53"/>
        <v>1. Low</v>
      </c>
      <c r="AL556" s="1" t="str">
        <f t="shared" si="54"/>
        <v>1. Bad</v>
      </c>
    </row>
    <row r="557" spans="1:38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f t="shared" si="49"/>
        <v>0</v>
      </c>
      <c r="AH557" t="str">
        <f t="shared" si="50"/>
        <v>26-35</v>
      </c>
      <c r="AI557" t="str">
        <f t="shared" si="51"/>
        <v>1. Under 3K</v>
      </c>
      <c r="AJ557" s="1" t="str">
        <f t="shared" si="52"/>
        <v>2. 2-5 yrs</v>
      </c>
      <c r="AK557" s="1" t="str">
        <f t="shared" si="53"/>
        <v>2. Medium</v>
      </c>
      <c r="AL557" s="1" t="str">
        <f t="shared" si="54"/>
        <v>3. Better</v>
      </c>
    </row>
    <row r="558" spans="1:38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f t="shared" si="49"/>
        <v>0</v>
      </c>
      <c r="AH558" t="str">
        <f t="shared" si="50"/>
        <v>46-55</v>
      </c>
      <c r="AI558" t="str">
        <f t="shared" si="51"/>
        <v>1. Under 3K</v>
      </c>
      <c r="AJ558" s="1" t="str">
        <f t="shared" si="52"/>
        <v>2. 2-5 yrs</v>
      </c>
      <c r="AK558" s="1" t="str">
        <f t="shared" si="53"/>
        <v>4. Very High</v>
      </c>
      <c r="AL558" s="1" t="str">
        <f t="shared" si="54"/>
        <v>3. Better</v>
      </c>
    </row>
    <row r="559" spans="1:38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f t="shared" si="49"/>
        <v>0</v>
      </c>
      <c r="AH559" t="str">
        <f t="shared" si="50"/>
        <v>26-35</v>
      </c>
      <c r="AI559" t="str">
        <f t="shared" si="51"/>
        <v>2. 3K-6K</v>
      </c>
      <c r="AJ559" s="1" t="str">
        <f t="shared" si="52"/>
        <v>1. 0-1 yrs</v>
      </c>
      <c r="AK559" s="1" t="str">
        <f t="shared" si="53"/>
        <v>1. Low</v>
      </c>
      <c r="AL559" s="1" t="str">
        <f t="shared" si="54"/>
        <v>4. Best</v>
      </c>
    </row>
    <row r="560" spans="1:38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f t="shared" si="49"/>
        <v>0</v>
      </c>
      <c r="AH560" t="str">
        <f t="shared" si="50"/>
        <v>26-35</v>
      </c>
      <c r="AI560" t="str">
        <f t="shared" si="51"/>
        <v>2. 3K-6K</v>
      </c>
      <c r="AJ560" s="1" t="str">
        <f t="shared" si="52"/>
        <v>3. 6-10 yrs</v>
      </c>
      <c r="AK560" s="1" t="str">
        <f t="shared" si="53"/>
        <v>4. Very High</v>
      </c>
      <c r="AL560" s="1" t="str">
        <f t="shared" si="54"/>
        <v>3. Better</v>
      </c>
    </row>
    <row r="561" spans="1:38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f t="shared" si="49"/>
        <v>0</v>
      </c>
      <c r="AH561" t="str">
        <f t="shared" si="50"/>
        <v>36-45</v>
      </c>
      <c r="AI561" t="str">
        <f t="shared" si="51"/>
        <v>2. 3K-6K</v>
      </c>
      <c r="AJ561" s="1" t="str">
        <f t="shared" si="52"/>
        <v>1. 0-1 yrs</v>
      </c>
      <c r="AK561" s="1" t="str">
        <f t="shared" si="53"/>
        <v>3. High</v>
      </c>
      <c r="AL561" s="1" t="str">
        <f t="shared" si="54"/>
        <v>1. Bad</v>
      </c>
    </row>
    <row r="562" spans="1:38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f t="shared" si="49"/>
        <v>0</v>
      </c>
      <c r="AH562" t="str">
        <f t="shared" si="50"/>
        <v>26-35</v>
      </c>
      <c r="AI562" t="str">
        <f t="shared" si="51"/>
        <v>2. 3K-6K</v>
      </c>
      <c r="AJ562" s="1" t="str">
        <f t="shared" si="52"/>
        <v>1. 0-1 yrs</v>
      </c>
      <c r="AK562" s="1" t="str">
        <f t="shared" si="53"/>
        <v>1. Low</v>
      </c>
      <c r="AL562" s="1" t="str">
        <f t="shared" si="54"/>
        <v>3. Better</v>
      </c>
    </row>
    <row r="563" spans="1:38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f t="shared" si="49"/>
        <v>0</v>
      </c>
      <c r="AH563" t="str">
        <f t="shared" si="50"/>
        <v>46-55</v>
      </c>
      <c r="AI563" t="str">
        <f t="shared" si="51"/>
        <v>4. 10K+</v>
      </c>
      <c r="AJ563" s="1" t="str">
        <f t="shared" si="52"/>
        <v>4. 10+ yrs</v>
      </c>
      <c r="AK563" s="1" t="str">
        <f t="shared" si="53"/>
        <v>1. Low</v>
      </c>
      <c r="AL563" s="1" t="str">
        <f t="shared" si="54"/>
        <v>4. Best</v>
      </c>
    </row>
    <row r="564" spans="1:38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f t="shared" si="49"/>
        <v>1</v>
      </c>
      <c r="AH564" t="str">
        <f t="shared" si="50"/>
        <v>26-35</v>
      </c>
      <c r="AI564" t="str">
        <f t="shared" si="51"/>
        <v>1. Under 3K</v>
      </c>
      <c r="AJ564" s="1" t="str">
        <f t="shared" si="52"/>
        <v>3. 6-10 yrs</v>
      </c>
      <c r="AK564" s="1" t="str">
        <f t="shared" si="53"/>
        <v>4. Very High</v>
      </c>
      <c r="AL564" s="1" t="str">
        <f t="shared" si="54"/>
        <v>2. Good</v>
      </c>
    </row>
    <row r="565" spans="1:38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f t="shared" si="49"/>
        <v>0</v>
      </c>
      <c r="AH565" t="str">
        <f t="shared" si="50"/>
        <v>18-25</v>
      </c>
      <c r="AI565" t="str">
        <f t="shared" si="51"/>
        <v>3. 6K-10K</v>
      </c>
      <c r="AJ565" s="1" t="str">
        <f t="shared" si="52"/>
        <v>3. 6-10 yrs</v>
      </c>
      <c r="AK565" s="1" t="str">
        <f t="shared" si="53"/>
        <v>4. Very High</v>
      </c>
      <c r="AL565" s="1" t="str">
        <f t="shared" si="54"/>
        <v>2. Good</v>
      </c>
    </row>
    <row r="566" spans="1:38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f t="shared" si="49"/>
        <v>0</v>
      </c>
      <c r="AH566" t="str">
        <f t="shared" si="50"/>
        <v>36-45</v>
      </c>
      <c r="AI566" t="str">
        <f t="shared" si="51"/>
        <v>3. 6K-10K</v>
      </c>
      <c r="AJ566" s="1" t="str">
        <f t="shared" si="52"/>
        <v>3. 6-10 yrs</v>
      </c>
      <c r="AK566" s="1" t="str">
        <f t="shared" si="53"/>
        <v>3. High</v>
      </c>
      <c r="AL566" s="1" t="str">
        <f t="shared" si="54"/>
        <v>3. Better</v>
      </c>
    </row>
    <row r="567" spans="1:38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f t="shared" si="49"/>
        <v>0</v>
      </c>
      <c r="AH567" t="str">
        <f t="shared" si="50"/>
        <v>18-25</v>
      </c>
      <c r="AI567" t="str">
        <f t="shared" si="51"/>
        <v>2. 3K-6K</v>
      </c>
      <c r="AJ567" s="1" t="str">
        <f t="shared" si="52"/>
        <v>2. 2-5 yrs</v>
      </c>
      <c r="AK567" s="1" t="str">
        <f t="shared" si="53"/>
        <v>3. High</v>
      </c>
      <c r="AL567" s="1" t="str">
        <f t="shared" si="54"/>
        <v>3. Better</v>
      </c>
    </row>
    <row r="568" spans="1:38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f t="shared" si="49"/>
        <v>1</v>
      </c>
      <c r="AH568" t="str">
        <f t="shared" si="50"/>
        <v>46-55</v>
      </c>
      <c r="AI568" t="str">
        <f t="shared" si="51"/>
        <v>3. 6K-10K</v>
      </c>
      <c r="AJ568" s="1" t="str">
        <f t="shared" si="52"/>
        <v>2. 2-5 yrs</v>
      </c>
      <c r="AK568" s="1" t="str">
        <f t="shared" si="53"/>
        <v>3. High</v>
      </c>
      <c r="AL568" s="1" t="str">
        <f t="shared" si="54"/>
        <v>3. Better</v>
      </c>
    </row>
    <row r="569" spans="1:38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f t="shared" si="49"/>
        <v>0</v>
      </c>
      <c r="AH569" t="str">
        <f t="shared" si="50"/>
        <v>26-35</v>
      </c>
      <c r="AI569" t="str">
        <f t="shared" si="51"/>
        <v>3. 6K-10K</v>
      </c>
      <c r="AJ569" s="1" t="str">
        <f t="shared" si="52"/>
        <v>3. 6-10 yrs</v>
      </c>
      <c r="AK569" s="1" t="str">
        <f t="shared" si="53"/>
        <v>4. Very High</v>
      </c>
      <c r="AL569" s="1" t="str">
        <f t="shared" si="54"/>
        <v>3. Better</v>
      </c>
    </row>
    <row r="570" spans="1:38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f t="shared" si="49"/>
        <v>1</v>
      </c>
      <c r="AH570" t="str">
        <f t="shared" si="50"/>
        <v>46-55</v>
      </c>
      <c r="AI570" t="str">
        <f t="shared" si="51"/>
        <v>4. 10K+</v>
      </c>
      <c r="AJ570" s="1" t="str">
        <f t="shared" si="52"/>
        <v>2. 2-5 yrs</v>
      </c>
      <c r="AK570" s="1" t="str">
        <f t="shared" si="53"/>
        <v>1. Low</v>
      </c>
      <c r="AL570" s="1" t="str">
        <f t="shared" si="54"/>
        <v>3. Better</v>
      </c>
    </row>
    <row r="571" spans="1:38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f t="shared" si="49"/>
        <v>0</v>
      </c>
      <c r="AH571" t="str">
        <f t="shared" si="50"/>
        <v>36-45</v>
      </c>
      <c r="AI571" t="str">
        <f t="shared" si="51"/>
        <v>3. 6K-10K</v>
      </c>
      <c r="AJ571" s="1" t="str">
        <f t="shared" si="52"/>
        <v>3. 6-10 yrs</v>
      </c>
      <c r="AK571" s="1" t="str">
        <f t="shared" si="53"/>
        <v>1. Low</v>
      </c>
      <c r="AL571" s="1" t="str">
        <f t="shared" si="54"/>
        <v>3. Better</v>
      </c>
    </row>
    <row r="572" spans="1:38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f t="shared" si="49"/>
        <v>0</v>
      </c>
      <c r="AH572" t="str">
        <f t="shared" si="50"/>
        <v>46-55</v>
      </c>
      <c r="AI572" t="str">
        <f t="shared" si="51"/>
        <v>2. 3K-6K</v>
      </c>
      <c r="AJ572" s="1" t="str">
        <f t="shared" si="52"/>
        <v>2. 2-5 yrs</v>
      </c>
      <c r="AK572" s="1" t="str">
        <f t="shared" si="53"/>
        <v>4. Very High</v>
      </c>
      <c r="AL572" s="1" t="str">
        <f t="shared" si="54"/>
        <v>3. Better</v>
      </c>
    </row>
    <row r="573" spans="1:38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f t="shared" si="49"/>
        <v>0</v>
      </c>
      <c r="AH573" t="str">
        <f t="shared" si="50"/>
        <v>26-35</v>
      </c>
      <c r="AI573" t="str">
        <f t="shared" si="51"/>
        <v>2. 3K-6K</v>
      </c>
      <c r="AJ573" s="1" t="str">
        <f t="shared" si="52"/>
        <v>2. 2-5 yrs</v>
      </c>
      <c r="AK573" s="1" t="str">
        <f t="shared" si="53"/>
        <v>4. Very High</v>
      </c>
      <c r="AL573" s="1" t="str">
        <f t="shared" si="54"/>
        <v>3. Better</v>
      </c>
    </row>
    <row r="574" spans="1:38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f t="shared" si="49"/>
        <v>0</v>
      </c>
      <c r="AH574" t="str">
        <f t="shared" si="50"/>
        <v>26-35</v>
      </c>
      <c r="AI574" t="str">
        <f t="shared" si="51"/>
        <v>2. 3K-6K</v>
      </c>
      <c r="AJ574" s="1" t="str">
        <f t="shared" si="52"/>
        <v>3. 6-10 yrs</v>
      </c>
      <c r="AK574" s="1" t="str">
        <f t="shared" si="53"/>
        <v>3. High</v>
      </c>
      <c r="AL574" s="1" t="str">
        <f t="shared" si="54"/>
        <v>2. Good</v>
      </c>
    </row>
    <row r="575" spans="1:38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f t="shared" si="49"/>
        <v>1</v>
      </c>
      <c r="AH575" t="str">
        <f t="shared" si="50"/>
        <v>26-35</v>
      </c>
      <c r="AI575" t="str">
        <f t="shared" si="51"/>
        <v>2. 3K-6K</v>
      </c>
      <c r="AJ575" s="1" t="str">
        <f t="shared" si="52"/>
        <v>2. 2-5 yrs</v>
      </c>
      <c r="AK575" s="1" t="str">
        <f t="shared" si="53"/>
        <v>1. Low</v>
      </c>
      <c r="AL575" s="1" t="str">
        <f t="shared" si="54"/>
        <v>2. Good</v>
      </c>
    </row>
    <row r="576" spans="1:38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f t="shared" si="49"/>
        <v>0</v>
      </c>
      <c r="AH576" t="str">
        <f t="shared" si="50"/>
        <v>26-35</v>
      </c>
      <c r="AI576" t="str">
        <f t="shared" si="51"/>
        <v>2. 3K-6K</v>
      </c>
      <c r="AJ576" s="1" t="str">
        <f t="shared" si="52"/>
        <v>2. 2-5 yrs</v>
      </c>
      <c r="AK576" s="1" t="str">
        <f t="shared" si="53"/>
        <v>4. Very High</v>
      </c>
      <c r="AL576" s="1" t="str">
        <f t="shared" si="54"/>
        <v>3. Better</v>
      </c>
    </row>
    <row r="577" spans="1:38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f t="shared" si="49"/>
        <v>0</v>
      </c>
      <c r="AH577" t="str">
        <f t="shared" si="50"/>
        <v>46-55</v>
      </c>
      <c r="AI577" t="str">
        <f t="shared" si="51"/>
        <v>2. 3K-6K</v>
      </c>
      <c r="AJ577" s="1" t="str">
        <f t="shared" si="52"/>
        <v>2. 2-5 yrs</v>
      </c>
      <c r="AK577" s="1" t="str">
        <f t="shared" si="53"/>
        <v>1. Low</v>
      </c>
      <c r="AL577" s="1" t="str">
        <f t="shared" si="54"/>
        <v>3. Better</v>
      </c>
    </row>
    <row r="578" spans="1:38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f t="shared" ref="AG578:AG641" si="55">IF(B578="Yes",1,0)</f>
        <v>0</v>
      </c>
      <c r="AH578" t="str">
        <f t="shared" ref="AH578:AH641" si="56">IF(A578&lt;26,"18-25",IF(A578&lt;36,"26-35",IF(A578&lt;46,"36-45",IF(A578&lt;56,"46-55","56+"))))</f>
        <v>26-35</v>
      </c>
      <c r="AI578" t="str">
        <f t="shared" ref="AI578:AI641" si="57">IF(R578&lt;3000,"1. Under 3K",IF(R578&lt;6000,"2. 3K-6K",IF(R578&lt;10000,"3. 6K-10K","4. 10K+")))</f>
        <v>2. 3K-6K</v>
      </c>
      <c r="AJ578" s="1" t="str">
        <f t="shared" ref="AJ578:AJ641" si="58">IF(AC578&lt;2,"1. 0-1 yrs",IF(AC578&lt;6,"2. 2-5 yrs",IF(AC578&lt;11,"3. 6-10 yrs","4. 10+ yrs")))</f>
        <v>2. 2-5 yrs</v>
      </c>
      <c r="AK578" s="1" t="str">
        <f t="shared" ref="AK578:AK641" si="59">CHOOSE(P578,"1. Low","2. Medium","3. High","4. Very High")</f>
        <v>4. Very High</v>
      </c>
      <c r="AL578" s="1" t="str">
        <f t="shared" ref="AL578:AL641" si="60">CHOOSE(AB578,"1. Bad","2. Good","3. Better","4. Best")</f>
        <v>3. Better</v>
      </c>
    </row>
    <row r="579" spans="1:38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f t="shared" si="55"/>
        <v>0</v>
      </c>
      <c r="AH579" t="str">
        <f t="shared" si="56"/>
        <v>36-45</v>
      </c>
      <c r="AI579" t="str">
        <f t="shared" si="57"/>
        <v>1. Under 3K</v>
      </c>
      <c r="AJ579" s="1" t="str">
        <f t="shared" si="58"/>
        <v>2. 2-5 yrs</v>
      </c>
      <c r="AK579" s="1" t="str">
        <f t="shared" si="59"/>
        <v>1. Low</v>
      </c>
      <c r="AL579" s="1" t="str">
        <f t="shared" si="60"/>
        <v>2. Good</v>
      </c>
    </row>
    <row r="580" spans="1:38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f t="shared" si="55"/>
        <v>0</v>
      </c>
      <c r="AH580" t="str">
        <f t="shared" si="56"/>
        <v>36-45</v>
      </c>
      <c r="AI580" t="str">
        <f t="shared" si="57"/>
        <v>2. 3K-6K</v>
      </c>
      <c r="AJ580" s="1" t="str">
        <f t="shared" si="58"/>
        <v>4. 10+ yrs</v>
      </c>
      <c r="AK580" s="1" t="str">
        <f t="shared" si="59"/>
        <v>1. Low</v>
      </c>
      <c r="AL580" s="1" t="str">
        <f t="shared" si="60"/>
        <v>3. Better</v>
      </c>
    </row>
    <row r="581" spans="1:38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f t="shared" si="55"/>
        <v>0</v>
      </c>
      <c r="AH581" t="str">
        <f t="shared" si="56"/>
        <v>26-35</v>
      </c>
      <c r="AI581" t="str">
        <f t="shared" si="57"/>
        <v>2. 3K-6K</v>
      </c>
      <c r="AJ581" s="1" t="str">
        <f t="shared" si="58"/>
        <v>3. 6-10 yrs</v>
      </c>
      <c r="AK581" s="1" t="str">
        <f t="shared" si="59"/>
        <v>1. Low</v>
      </c>
      <c r="AL581" s="1" t="str">
        <f t="shared" si="60"/>
        <v>3. Better</v>
      </c>
    </row>
    <row r="582" spans="1:38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f t="shared" si="55"/>
        <v>0</v>
      </c>
      <c r="AH582" t="str">
        <f t="shared" si="56"/>
        <v>26-35</v>
      </c>
      <c r="AI582" t="str">
        <f t="shared" si="57"/>
        <v>1. Under 3K</v>
      </c>
      <c r="AJ582" s="1" t="str">
        <f t="shared" si="58"/>
        <v>2. 2-5 yrs</v>
      </c>
      <c r="AK582" s="1" t="str">
        <f t="shared" si="59"/>
        <v>4. Very High</v>
      </c>
      <c r="AL582" s="1" t="str">
        <f t="shared" si="60"/>
        <v>2. Good</v>
      </c>
    </row>
    <row r="583" spans="1:38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f t="shared" si="55"/>
        <v>0</v>
      </c>
      <c r="AH583" t="str">
        <f t="shared" si="56"/>
        <v>26-35</v>
      </c>
      <c r="AI583" t="str">
        <f t="shared" si="57"/>
        <v>2. 3K-6K</v>
      </c>
      <c r="AJ583" s="1" t="str">
        <f t="shared" si="58"/>
        <v>2. 2-5 yrs</v>
      </c>
      <c r="AK583" s="1" t="str">
        <f t="shared" si="59"/>
        <v>3. High</v>
      </c>
      <c r="AL583" s="1" t="str">
        <f t="shared" si="60"/>
        <v>3. Better</v>
      </c>
    </row>
    <row r="584" spans="1:38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f t="shared" si="55"/>
        <v>0</v>
      </c>
      <c r="AH584" t="str">
        <f t="shared" si="56"/>
        <v>36-45</v>
      </c>
      <c r="AI584" t="str">
        <f t="shared" si="57"/>
        <v>2. 3K-6K</v>
      </c>
      <c r="AJ584" s="1" t="str">
        <f t="shared" si="58"/>
        <v>3. 6-10 yrs</v>
      </c>
      <c r="AK584" s="1" t="str">
        <f t="shared" si="59"/>
        <v>2. Medium</v>
      </c>
      <c r="AL584" s="1" t="str">
        <f t="shared" si="60"/>
        <v>3. Better</v>
      </c>
    </row>
    <row r="585" spans="1:38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f t="shared" si="55"/>
        <v>0</v>
      </c>
      <c r="AH585" t="str">
        <f t="shared" si="56"/>
        <v>26-35</v>
      </c>
      <c r="AI585" t="str">
        <f t="shared" si="57"/>
        <v>3. 6K-10K</v>
      </c>
      <c r="AJ585" s="1" t="str">
        <f t="shared" si="58"/>
        <v>2. 2-5 yrs</v>
      </c>
      <c r="AK585" s="1" t="str">
        <f t="shared" si="59"/>
        <v>1. Low</v>
      </c>
      <c r="AL585" s="1" t="str">
        <f t="shared" si="60"/>
        <v>3. Better</v>
      </c>
    </row>
    <row r="586" spans="1:38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f t="shared" si="55"/>
        <v>0</v>
      </c>
      <c r="AH586" t="str">
        <f t="shared" si="56"/>
        <v>36-45</v>
      </c>
      <c r="AI586" t="str">
        <f t="shared" si="57"/>
        <v>4. 10K+</v>
      </c>
      <c r="AJ586" s="1" t="str">
        <f t="shared" si="58"/>
        <v>4. 10+ yrs</v>
      </c>
      <c r="AK586" s="1" t="str">
        <f t="shared" si="59"/>
        <v>4. Very High</v>
      </c>
      <c r="AL586" s="1" t="str">
        <f t="shared" si="60"/>
        <v>2. Good</v>
      </c>
    </row>
    <row r="587" spans="1:38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f t="shared" si="55"/>
        <v>1</v>
      </c>
      <c r="AH587" t="str">
        <f t="shared" si="56"/>
        <v>18-25</v>
      </c>
      <c r="AI587" t="str">
        <f t="shared" si="57"/>
        <v>1. Under 3K</v>
      </c>
      <c r="AJ587" s="1" t="str">
        <f t="shared" si="58"/>
        <v>1. 0-1 yrs</v>
      </c>
      <c r="AK587" s="1" t="str">
        <f t="shared" si="59"/>
        <v>1. Low</v>
      </c>
      <c r="AL587" s="1" t="str">
        <f t="shared" si="60"/>
        <v>3. Better</v>
      </c>
    </row>
    <row r="588" spans="1:38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f t="shared" si="55"/>
        <v>0</v>
      </c>
      <c r="AH588" t="str">
        <f t="shared" si="56"/>
        <v>18-25</v>
      </c>
      <c r="AI588" t="str">
        <f t="shared" si="57"/>
        <v>1. Under 3K</v>
      </c>
      <c r="AJ588" s="1" t="str">
        <f t="shared" si="58"/>
        <v>1. 0-1 yrs</v>
      </c>
      <c r="AK588" s="1" t="str">
        <f t="shared" si="59"/>
        <v>2. Medium</v>
      </c>
      <c r="AL588" s="1" t="str">
        <f t="shared" si="60"/>
        <v>3. Better</v>
      </c>
    </row>
    <row r="589" spans="1:38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f t="shared" si="55"/>
        <v>0</v>
      </c>
      <c r="AH589" t="str">
        <f t="shared" si="56"/>
        <v>46-55</v>
      </c>
      <c r="AI589" t="str">
        <f t="shared" si="57"/>
        <v>2. 3K-6K</v>
      </c>
      <c r="AJ589" s="1" t="str">
        <f t="shared" si="58"/>
        <v>2. 2-5 yrs</v>
      </c>
      <c r="AK589" s="1" t="str">
        <f t="shared" si="59"/>
        <v>3. High</v>
      </c>
      <c r="AL589" s="1" t="str">
        <f t="shared" si="60"/>
        <v>3. Better</v>
      </c>
    </row>
    <row r="590" spans="1:38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f t="shared" si="55"/>
        <v>0</v>
      </c>
      <c r="AH590" t="str">
        <f t="shared" si="56"/>
        <v>46-55</v>
      </c>
      <c r="AI590" t="str">
        <f t="shared" si="57"/>
        <v>4. 10K+</v>
      </c>
      <c r="AJ590" s="1" t="str">
        <f t="shared" si="58"/>
        <v>2. 2-5 yrs</v>
      </c>
      <c r="AK590" s="1" t="str">
        <f t="shared" si="59"/>
        <v>3. High</v>
      </c>
      <c r="AL590" s="1" t="str">
        <f t="shared" si="60"/>
        <v>3. Better</v>
      </c>
    </row>
    <row r="591" spans="1:38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f t="shared" si="55"/>
        <v>1</v>
      </c>
      <c r="AH591" t="str">
        <f t="shared" si="56"/>
        <v>26-35</v>
      </c>
      <c r="AI591" t="str">
        <f t="shared" si="57"/>
        <v>1. Under 3K</v>
      </c>
      <c r="AJ591" s="1" t="str">
        <f t="shared" si="58"/>
        <v>1. 0-1 yrs</v>
      </c>
      <c r="AK591" s="1" t="str">
        <f t="shared" si="59"/>
        <v>1. Low</v>
      </c>
      <c r="AL591" s="1" t="str">
        <f t="shared" si="60"/>
        <v>3. Better</v>
      </c>
    </row>
    <row r="592" spans="1:38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f t="shared" si="55"/>
        <v>0</v>
      </c>
      <c r="AH592" t="str">
        <f t="shared" si="56"/>
        <v>26-35</v>
      </c>
      <c r="AI592" t="str">
        <f t="shared" si="57"/>
        <v>4. 10K+</v>
      </c>
      <c r="AJ592" s="1" t="str">
        <f t="shared" si="58"/>
        <v>4. 10+ yrs</v>
      </c>
      <c r="AK592" s="1" t="str">
        <f t="shared" si="59"/>
        <v>3. High</v>
      </c>
      <c r="AL592" s="1" t="str">
        <f t="shared" si="60"/>
        <v>4. Best</v>
      </c>
    </row>
    <row r="593" spans="1:38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f t="shared" si="55"/>
        <v>1</v>
      </c>
      <c r="AH593" t="str">
        <f t="shared" si="56"/>
        <v>26-35</v>
      </c>
      <c r="AI593" t="str">
        <f t="shared" si="57"/>
        <v>2. 3K-6K</v>
      </c>
      <c r="AJ593" s="1" t="str">
        <f t="shared" si="58"/>
        <v>2. 2-5 yrs</v>
      </c>
      <c r="AK593" s="1" t="str">
        <f t="shared" si="59"/>
        <v>1. Low</v>
      </c>
      <c r="AL593" s="1" t="str">
        <f t="shared" si="60"/>
        <v>3. Better</v>
      </c>
    </row>
    <row r="594" spans="1:38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f t="shared" si="55"/>
        <v>0</v>
      </c>
      <c r="AH594" t="str">
        <f t="shared" si="56"/>
        <v>46-55</v>
      </c>
      <c r="AI594" t="str">
        <f t="shared" si="57"/>
        <v>4. 10K+</v>
      </c>
      <c r="AJ594" s="1" t="str">
        <f t="shared" si="58"/>
        <v>4. 10+ yrs</v>
      </c>
      <c r="AK594" s="1" t="str">
        <f t="shared" si="59"/>
        <v>4. Very High</v>
      </c>
      <c r="AL594" s="1" t="str">
        <f t="shared" si="60"/>
        <v>2. Good</v>
      </c>
    </row>
    <row r="595" spans="1:38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f t="shared" si="55"/>
        <v>0</v>
      </c>
      <c r="AH595" t="str">
        <f t="shared" si="56"/>
        <v>36-45</v>
      </c>
      <c r="AI595" t="str">
        <f t="shared" si="57"/>
        <v>2. 3K-6K</v>
      </c>
      <c r="AJ595" s="1" t="str">
        <f t="shared" si="58"/>
        <v>3. 6-10 yrs</v>
      </c>
      <c r="AK595" s="1" t="str">
        <f t="shared" si="59"/>
        <v>2. Medium</v>
      </c>
      <c r="AL595" s="1" t="str">
        <f t="shared" si="60"/>
        <v>3. Better</v>
      </c>
    </row>
    <row r="596" spans="1:38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f t="shared" si="55"/>
        <v>0</v>
      </c>
      <c r="AH596" t="str">
        <f t="shared" si="56"/>
        <v>26-35</v>
      </c>
      <c r="AI596" t="str">
        <f t="shared" si="57"/>
        <v>1. Under 3K</v>
      </c>
      <c r="AJ596" s="1" t="str">
        <f t="shared" si="58"/>
        <v>3. 6-10 yrs</v>
      </c>
      <c r="AK596" s="1" t="str">
        <f t="shared" si="59"/>
        <v>3. High</v>
      </c>
      <c r="AL596" s="1" t="str">
        <f t="shared" si="60"/>
        <v>3. Better</v>
      </c>
    </row>
    <row r="597" spans="1:38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f t="shared" si="55"/>
        <v>1</v>
      </c>
      <c r="AH597" t="str">
        <f t="shared" si="56"/>
        <v>56+</v>
      </c>
      <c r="AI597" t="str">
        <f t="shared" si="57"/>
        <v>4. 10K+</v>
      </c>
      <c r="AJ597" s="1" t="str">
        <f t="shared" si="58"/>
        <v>4. 10+ yrs</v>
      </c>
      <c r="AK597" s="1" t="str">
        <f t="shared" si="59"/>
        <v>2. Medium</v>
      </c>
      <c r="AL597" s="1" t="str">
        <f t="shared" si="60"/>
        <v>3. Better</v>
      </c>
    </row>
    <row r="598" spans="1:38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f t="shared" si="55"/>
        <v>0</v>
      </c>
      <c r="AH598" t="str">
        <f t="shared" si="56"/>
        <v>26-35</v>
      </c>
      <c r="AI598" t="str">
        <f t="shared" si="57"/>
        <v>1. Under 3K</v>
      </c>
      <c r="AJ598" s="1" t="str">
        <f t="shared" si="58"/>
        <v>2. 2-5 yrs</v>
      </c>
      <c r="AK598" s="1" t="str">
        <f t="shared" si="59"/>
        <v>3. High</v>
      </c>
      <c r="AL598" s="1" t="str">
        <f t="shared" si="60"/>
        <v>3. Better</v>
      </c>
    </row>
    <row r="599" spans="1:38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f t="shared" si="55"/>
        <v>0</v>
      </c>
      <c r="AH599" t="str">
        <f t="shared" si="56"/>
        <v>36-45</v>
      </c>
      <c r="AI599" t="str">
        <f t="shared" si="57"/>
        <v>3. 6K-10K</v>
      </c>
      <c r="AJ599" s="1" t="str">
        <f t="shared" si="58"/>
        <v>2. 2-5 yrs</v>
      </c>
      <c r="AK599" s="1" t="str">
        <f t="shared" si="59"/>
        <v>4. Very High</v>
      </c>
      <c r="AL599" s="1" t="str">
        <f t="shared" si="60"/>
        <v>3. Better</v>
      </c>
    </row>
    <row r="600" spans="1:38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f t="shared" si="55"/>
        <v>1</v>
      </c>
      <c r="AH600" t="str">
        <f t="shared" si="56"/>
        <v>26-35</v>
      </c>
      <c r="AI600" t="str">
        <f t="shared" si="57"/>
        <v>2. 3K-6K</v>
      </c>
      <c r="AJ600" s="1" t="str">
        <f t="shared" si="58"/>
        <v>2. 2-5 yrs</v>
      </c>
      <c r="AK600" s="1" t="str">
        <f t="shared" si="59"/>
        <v>3. High</v>
      </c>
      <c r="AL600" s="1" t="str">
        <f t="shared" si="60"/>
        <v>2. Good</v>
      </c>
    </row>
    <row r="601" spans="1:38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f t="shared" si="55"/>
        <v>0</v>
      </c>
      <c r="AH601" t="str">
        <f t="shared" si="56"/>
        <v>36-45</v>
      </c>
      <c r="AI601" t="str">
        <f t="shared" si="57"/>
        <v>1. Under 3K</v>
      </c>
      <c r="AJ601" s="1" t="str">
        <f t="shared" si="58"/>
        <v>2. 2-5 yrs</v>
      </c>
      <c r="AK601" s="1" t="str">
        <f t="shared" si="59"/>
        <v>2. Medium</v>
      </c>
      <c r="AL601" s="1" t="str">
        <f t="shared" si="60"/>
        <v>3. Better</v>
      </c>
    </row>
    <row r="602" spans="1:38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f t="shared" si="55"/>
        <v>0</v>
      </c>
      <c r="AH602" t="str">
        <f t="shared" si="56"/>
        <v>26-35</v>
      </c>
      <c r="AI602" t="str">
        <f t="shared" si="57"/>
        <v>3. 6K-10K</v>
      </c>
      <c r="AJ602" s="1" t="str">
        <f t="shared" si="58"/>
        <v>4. 10+ yrs</v>
      </c>
      <c r="AK602" s="1" t="str">
        <f t="shared" si="59"/>
        <v>3. High</v>
      </c>
      <c r="AL602" s="1" t="str">
        <f t="shared" si="60"/>
        <v>3. Better</v>
      </c>
    </row>
    <row r="603" spans="1:38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f t="shared" si="55"/>
        <v>0</v>
      </c>
      <c r="AH603" t="str">
        <f t="shared" si="56"/>
        <v>36-45</v>
      </c>
      <c r="AI603" t="str">
        <f t="shared" si="57"/>
        <v>2. 3K-6K</v>
      </c>
      <c r="AJ603" s="1" t="str">
        <f t="shared" si="58"/>
        <v>1. 0-1 yrs</v>
      </c>
      <c r="AK603" s="1" t="str">
        <f t="shared" si="59"/>
        <v>3. High</v>
      </c>
      <c r="AL603" s="1" t="str">
        <f t="shared" si="60"/>
        <v>3. Better</v>
      </c>
    </row>
    <row r="604" spans="1:38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f t="shared" si="55"/>
        <v>0</v>
      </c>
      <c r="AH604" t="str">
        <f t="shared" si="56"/>
        <v>26-35</v>
      </c>
      <c r="AI604" t="str">
        <f t="shared" si="57"/>
        <v>3. 6K-10K</v>
      </c>
      <c r="AJ604" s="1" t="str">
        <f t="shared" si="58"/>
        <v>1. 0-1 yrs</v>
      </c>
      <c r="AK604" s="1" t="str">
        <f t="shared" si="59"/>
        <v>4. Very High</v>
      </c>
      <c r="AL604" s="1" t="str">
        <f t="shared" si="60"/>
        <v>2. Good</v>
      </c>
    </row>
    <row r="605" spans="1:38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f t="shared" si="55"/>
        <v>0</v>
      </c>
      <c r="AH605" t="str">
        <f t="shared" si="56"/>
        <v>36-45</v>
      </c>
      <c r="AI605" t="str">
        <f t="shared" si="57"/>
        <v>1. Under 3K</v>
      </c>
      <c r="AJ605" s="1" t="str">
        <f t="shared" si="58"/>
        <v>1. 0-1 yrs</v>
      </c>
      <c r="AK605" s="1" t="str">
        <f t="shared" si="59"/>
        <v>3. High</v>
      </c>
      <c r="AL605" s="1" t="str">
        <f t="shared" si="60"/>
        <v>3. Better</v>
      </c>
    </row>
    <row r="606" spans="1:38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f t="shared" si="55"/>
        <v>0</v>
      </c>
      <c r="AH606" t="str">
        <f t="shared" si="56"/>
        <v>36-45</v>
      </c>
      <c r="AI606" t="str">
        <f t="shared" si="57"/>
        <v>2. 3K-6K</v>
      </c>
      <c r="AJ606" s="1" t="str">
        <f t="shared" si="58"/>
        <v>3. 6-10 yrs</v>
      </c>
      <c r="AK606" s="1" t="str">
        <f t="shared" si="59"/>
        <v>2. Medium</v>
      </c>
      <c r="AL606" s="1" t="str">
        <f t="shared" si="60"/>
        <v>2. Good</v>
      </c>
    </row>
    <row r="607" spans="1:38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f t="shared" si="55"/>
        <v>0</v>
      </c>
      <c r="AH607" t="str">
        <f t="shared" si="56"/>
        <v>36-45</v>
      </c>
      <c r="AI607" t="str">
        <f t="shared" si="57"/>
        <v>3. 6K-10K</v>
      </c>
      <c r="AJ607" s="1" t="str">
        <f t="shared" si="58"/>
        <v>2. 2-5 yrs</v>
      </c>
      <c r="AK607" s="1" t="str">
        <f t="shared" si="59"/>
        <v>1. Low</v>
      </c>
      <c r="AL607" s="1" t="str">
        <f t="shared" si="60"/>
        <v>2. Good</v>
      </c>
    </row>
    <row r="608" spans="1:38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f t="shared" si="55"/>
        <v>0</v>
      </c>
      <c r="AH608" t="str">
        <f t="shared" si="56"/>
        <v>26-35</v>
      </c>
      <c r="AI608" t="str">
        <f t="shared" si="57"/>
        <v>1. Under 3K</v>
      </c>
      <c r="AJ608" s="1" t="str">
        <f t="shared" si="58"/>
        <v>2. 2-5 yrs</v>
      </c>
      <c r="AK608" s="1" t="str">
        <f t="shared" si="59"/>
        <v>4. Very High</v>
      </c>
      <c r="AL608" s="1" t="str">
        <f t="shared" si="60"/>
        <v>3. Better</v>
      </c>
    </row>
    <row r="609" spans="1:38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f t="shared" si="55"/>
        <v>1</v>
      </c>
      <c r="AH609" t="str">
        <f t="shared" si="56"/>
        <v>46-55</v>
      </c>
      <c r="AI609" t="str">
        <f t="shared" si="57"/>
        <v>3. 6K-10K</v>
      </c>
      <c r="AJ609" s="1" t="str">
        <f t="shared" si="58"/>
        <v>3. 6-10 yrs</v>
      </c>
      <c r="AK609" s="1" t="str">
        <f t="shared" si="59"/>
        <v>4. Very High</v>
      </c>
      <c r="AL609" s="1" t="str">
        <f t="shared" si="60"/>
        <v>4. Best</v>
      </c>
    </row>
    <row r="610" spans="1:38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f t="shared" si="55"/>
        <v>1</v>
      </c>
      <c r="AH610" t="str">
        <f t="shared" si="56"/>
        <v>46-55</v>
      </c>
      <c r="AI610" t="str">
        <f t="shared" si="57"/>
        <v>2. 3K-6K</v>
      </c>
      <c r="AJ610" s="1" t="str">
        <f t="shared" si="58"/>
        <v>3. 6-10 yrs</v>
      </c>
      <c r="AK610" s="1" t="str">
        <f t="shared" si="59"/>
        <v>4. Very High</v>
      </c>
      <c r="AL610" s="1" t="str">
        <f t="shared" si="60"/>
        <v>2. Good</v>
      </c>
    </row>
    <row r="611" spans="1:38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f t="shared" si="55"/>
        <v>0</v>
      </c>
      <c r="AH611" t="str">
        <f t="shared" si="56"/>
        <v>36-45</v>
      </c>
      <c r="AI611" t="str">
        <f t="shared" si="57"/>
        <v>4. 10K+</v>
      </c>
      <c r="AJ611" s="1" t="str">
        <f t="shared" si="58"/>
        <v>2. 2-5 yrs</v>
      </c>
      <c r="AK611" s="1" t="str">
        <f t="shared" si="59"/>
        <v>1. Low</v>
      </c>
      <c r="AL611" s="1" t="str">
        <f t="shared" si="60"/>
        <v>3. Better</v>
      </c>
    </row>
    <row r="612" spans="1:38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f t="shared" si="55"/>
        <v>0</v>
      </c>
      <c r="AH612" t="str">
        <f t="shared" si="56"/>
        <v>26-35</v>
      </c>
      <c r="AI612" t="str">
        <f t="shared" si="57"/>
        <v>4. 10K+</v>
      </c>
      <c r="AJ612" s="1" t="str">
        <f t="shared" si="58"/>
        <v>3. 6-10 yrs</v>
      </c>
      <c r="AK612" s="1" t="str">
        <f t="shared" si="59"/>
        <v>4. Very High</v>
      </c>
      <c r="AL612" s="1" t="str">
        <f t="shared" si="60"/>
        <v>3. Better</v>
      </c>
    </row>
    <row r="613" spans="1:38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f t="shared" si="55"/>
        <v>0</v>
      </c>
      <c r="AH613" t="str">
        <f t="shared" si="56"/>
        <v>26-35</v>
      </c>
      <c r="AI613" t="str">
        <f t="shared" si="57"/>
        <v>4. 10K+</v>
      </c>
      <c r="AJ613" s="1" t="str">
        <f t="shared" si="58"/>
        <v>3. 6-10 yrs</v>
      </c>
      <c r="AK613" s="1" t="str">
        <f t="shared" si="59"/>
        <v>3. High</v>
      </c>
      <c r="AL613" s="1" t="str">
        <f t="shared" si="60"/>
        <v>4. Best</v>
      </c>
    </row>
    <row r="614" spans="1:38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f t="shared" si="55"/>
        <v>0</v>
      </c>
      <c r="AH614" t="str">
        <f t="shared" si="56"/>
        <v>26-35</v>
      </c>
      <c r="AI614" t="str">
        <f t="shared" si="57"/>
        <v>2. 3K-6K</v>
      </c>
      <c r="AJ614" s="1" t="str">
        <f t="shared" si="58"/>
        <v>3. 6-10 yrs</v>
      </c>
      <c r="AK614" s="1" t="str">
        <f t="shared" si="59"/>
        <v>2. Medium</v>
      </c>
      <c r="AL614" s="1" t="str">
        <f t="shared" si="60"/>
        <v>3. Better</v>
      </c>
    </row>
    <row r="615" spans="1:38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f t="shared" si="55"/>
        <v>0</v>
      </c>
      <c r="AH615" t="str">
        <f t="shared" si="56"/>
        <v>26-35</v>
      </c>
      <c r="AI615" t="str">
        <f t="shared" si="57"/>
        <v>2. 3K-6K</v>
      </c>
      <c r="AJ615" s="1" t="str">
        <f t="shared" si="58"/>
        <v>2. 2-5 yrs</v>
      </c>
      <c r="AK615" s="1" t="str">
        <f t="shared" si="59"/>
        <v>4. Very High</v>
      </c>
      <c r="AL615" s="1" t="str">
        <f t="shared" si="60"/>
        <v>1. Bad</v>
      </c>
    </row>
    <row r="616" spans="1:38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f t="shared" si="55"/>
        <v>1</v>
      </c>
      <c r="AH616" t="str">
        <f t="shared" si="56"/>
        <v>26-35</v>
      </c>
      <c r="AI616" t="str">
        <f t="shared" si="57"/>
        <v>1. Under 3K</v>
      </c>
      <c r="AJ616" s="1" t="str">
        <f t="shared" si="58"/>
        <v>3. 6-10 yrs</v>
      </c>
      <c r="AK616" s="1" t="str">
        <f t="shared" si="59"/>
        <v>3. High</v>
      </c>
      <c r="AL616" s="1" t="str">
        <f t="shared" si="60"/>
        <v>3. Better</v>
      </c>
    </row>
    <row r="617" spans="1:38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f t="shared" si="55"/>
        <v>0</v>
      </c>
      <c r="AH617" t="str">
        <f t="shared" si="56"/>
        <v>26-35</v>
      </c>
      <c r="AI617" t="str">
        <f t="shared" si="57"/>
        <v>1. Under 3K</v>
      </c>
      <c r="AJ617" s="1" t="str">
        <f t="shared" si="58"/>
        <v>1. 0-1 yrs</v>
      </c>
      <c r="AK617" s="1" t="str">
        <f t="shared" si="59"/>
        <v>4. Very High</v>
      </c>
      <c r="AL617" s="1" t="str">
        <f t="shared" si="60"/>
        <v>2. Good</v>
      </c>
    </row>
    <row r="618" spans="1:38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f t="shared" si="55"/>
        <v>0</v>
      </c>
      <c r="AH618" t="str">
        <f t="shared" si="56"/>
        <v>46-55</v>
      </c>
      <c r="AI618" t="str">
        <f t="shared" si="57"/>
        <v>4. 10K+</v>
      </c>
      <c r="AJ618" s="1" t="str">
        <f t="shared" si="58"/>
        <v>4. 10+ yrs</v>
      </c>
      <c r="AK618" s="1" t="str">
        <f t="shared" si="59"/>
        <v>3. High</v>
      </c>
      <c r="AL618" s="1" t="str">
        <f t="shared" si="60"/>
        <v>2. Good</v>
      </c>
    </row>
    <row r="619" spans="1:38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f t="shared" si="55"/>
        <v>0</v>
      </c>
      <c r="AH619" t="str">
        <f t="shared" si="56"/>
        <v>36-45</v>
      </c>
      <c r="AI619" t="str">
        <f t="shared" si="57"/>
        <v>2. 3K-6K</v>
      </c>
      <c r="AJ619" s="1" t="str">
        <f t="shared" si="58"/>
        <v>2. 2-5 yrs</v>
      </c>
      <c r="AK619" s="1" t="str">
        <f t="shared" si="59"/>
        <v>2. Medium</v>
      </c>
      <c r="AL619" s="1" t="str">
        <f t="shared" si="60"/>
        <v>2. Good</v>
      </c>
    </row>
    <row r="620" spans="1:38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f t="shared" si="55"/>
        <v>0</v>
      </c>
      <c r="AH620" t="str">
        <f t="shared" si="56"/>
        <v>18-25</v>
      </c>
      <c r="AI620" t="str">
        <f t="shared" si="57"/>
        <v>2. 3K-6K</v>
      </c>
      <c r="AJ620" s="1" t="str">
        <f t="shared" si="58"/>
        <v>2. 2-5 yrs</v>
      </c>
      <c r="AK620" s="1" t="str">
        <f t="shared" si="59"/>
        <v>1. Low</v>
      </c>
      <c r="AL620" s="1" t="str">
        <f t="shared" si="60"/>
        <v>2. Good</v>
      </c>
    </row>
    <row r="621" spans="1:38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f t="shared" si="55"/>
        <v>0</v>
      </c>
      <c r="AH621" t="str">
        <f t="shared" si="56"/>
        <v>26-35</v>
      </c>
      <c r="AI621" t="str">
        <f t="shared" si="57"/>
        <v>2. 3K-6K</v>
      </c>
      <c r="AJ621" s="1" t="str">
        <f t="shared" si="58"/>
        <v>3. 6-10 yrs</v>
      </c>
      <c r="AK621" s="1" t="str">
        <f t="shared" si="59"/>
        <v>1. Low</v>
      </c>
      <c r="AL621" s="1" t="str">
        <f t="shared" si="60"/>
        <v>3. Better</v>
      </c>
    </row>
    <row r="622" spans="1:38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f t="shared" si="55"/>
        <v>0</v>
      </c>
      <c r="AH622" t="str">
        <f t="shared" si="56"/>
        <v>26-35</v>
      </c>
      <c r="AI622" t="str">
        <f t="shared" si="57"/>
        <v>1. Under 3K</v>
      </c>
      <c r="AJ622" s="1" t="str">
        <f t="shared" si="58"/>
        <v>3. 6-10 yrs</v>
      </c>
      <c r="AK622" s="1" t="str">
        <f t="shared" si="59"/>
        <v>1. Low</v>
      </c>
      <c r="AL622" s="1" t="str">
        <f t="shared" si="60"/>
        <v>2. Good</v>
      </c>
    </row>
    <row r="623" spans="1:38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f t="shared" si="55"/>
        <v>0</v>
      </c>
      <c r="AH623" t="str">
        <f t="shared" si="56"/>
        <v>36-45</v>
      </c>
      <c r="AI623" t="str">
        <f t="shared" si="57"/>
        <v>3. 6K-10K</v>
      </c>
      <c r="AJ623" s="1" t="str">
        <f t="shared" si="58"/>
        <v>4. 10+ yrs</v>
      </c>
      <c r="AK623" s="1" t="str">
        <f t="shared" si="59"/>
        <v>4. Very High</v>
      </c>
      <c r="AL623" s="1" t="str">
        <f t="shared" si="60"/>
        <v>2. Good</v>
      </c>
    </row>
    <row r="624" spans="1:38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f t="shared" si="55"/>
        <v>0</v>
      </c>
      <c r="AH624" t="str">
        <f t="shared" si="56"/>
        <v>26-35</v>
      </c>
      <c r="AI624" t="str">
        <f t="shared" si="57"/>
        <v>2. 3K-6K</v>
      </c>
      <c r="AJ624" s="1" t="str">
        <f t="shared" si="58"/>
        <v>2. 2-5 yrs</v>
      </c>
      <c r="AK624" s="1" t="str">
        <f t="shared" si="59"/>
        <v>4. Very High</v>
      </c>
      <c r="AL624" s="1" t="str">
        <f t="shared" si="60"/>
        <v>2. Good</v>
      </c>
    </row>
    <row r="625" spans="1:38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f t="shared" si="55"/>
        <v>0</v>
      </c>
      <c r="AH625" t="str">
        <f t="shared" si="56"/>
        <v>26-35</v>
      </c>
      <c r="AI625" t="str">
        <f t="shared" si="57"/>
        <v>2. 3K-6K</v>
      </c>
      <c r="AJ625" s="1" t="str">
        <f t="shared" si="58"/>
        <v>2. 2-5 yrs</v>
      </c>
      <c r="AK625" s="1" t="str">
        <f t="shared" si="59"/>
        <v>4. Very High</v>
      </c>
      <c r="AL625" s="1" t="str">
        <f t="shared" si="60"/>
        <v>2. Good</v>
      </c>
    </row>
    <row r="626" spans="1:38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f t="shared" si="55"/>
        <v>0</v>
      </c>
      <c r="AH626" t="str">
        <f t="shared" si="56"/>
        <v>46-55</v>
      </c>
      <c r="AI626" t="str">
        <f t="shared" si="57"/>
        <v>4. 10K+</v>
      </c>
      <c r="AJ626" s="1" t="str">
        <f t="shared" si="58"/>
        <v>2. 2-5 yrs</v>
      </c>
      <c r="AK626" s="1" t="str">
        <f t="shared" si="59"/>
        <v>4. Very High</v>
      </c>
      <c r="AL626" s="1" t="str">
        <f t="shared" si="60"/>
        <v>3. Better</v>
      </c>
    </row>
    <row r="627" spans="1:38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f t="shared" si="55"/>
        <v>0</v>
      </c>
      <c r="AH627" t="str">
        <f t="shared" si="56"/>
        <v>36-45</v>
      </c>
      <c r="AI627" t="str">
        <f t="shared" si="57"/>
        <v>4. 10K+</v>
      </c>
      <c r="AJ627" s="1" t="str">
        <f t="shared" si="58"/>
        <v>2. 2-5 yrs</v>
      </c>
      <c r="AK627" s="1" t="str">
        <f t="shared" si="59"/>
        <v>1. Low</v>
      </c>
      <c r="AL627" s="1" t="str">
        <f t="shared" si="60"/>
        <v>3. Better</v>
      </c>
    </row>
    <row r="628" spans="1:38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f t="shared" si="55"/>
        <v>0</v>
      </c>
      <c r="AH628" t="str">
        <f t="shared" si="56"/>
        <v>26-35</v>
      </c>
      <c r="AI628" t="str">
        <f t="shared" si="57"/>
        <v>2. 3K-6K</v>
      </c>
      <c r="AJ628" s="1" t="str">
        <f t="shared" si="58"/>
        <v>2. 2-5 yrs</v>
      </c>
      <c r="AK628" s="1" t="str">
        <f t="shared" si="59"/>
        <v>3. High</v>
      </c>
      <c r="AL628" s="1" t="str">
        <f t="shared" si="60"/>
        <v>2. Good</v>
      </c>
    </row>
    <row r="629" spans="1:38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f t="shared" si="55"/>
        <v>0</v>
      </c>
      <c r="AH629" t="str">
        <f t="shared" si="56"/>
        <v>46-55</v>
      </c>
      <c r="AI629" t="str">
        <f t="shared" si="57"/>
        <v>4. 10K+</v>
      </c>
      <c r="AJ629" s="1" t="str">
        <f t="shared" si="58"/>
        <v>3. 6-10 yrs</v>
      </c>
      <c r="AK629" s="1" t="str">
        <f t="shared" si="59"/>
        <v>4. Very High</v>
      </c>
      <c r="AL629" s="1" t="str">
        <f t="shared" si="60"/>
        <v>3. Better</v>
      </c>
    </row>
    <row r="630" spans="1:38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f t="shared" si="55"/>
        <v>0</v>
      </c>
      <c r="AH630" t="str">
        <f t="shared" si="56"/>
        <v>36-45</v>
      </c>
      <c r="AI630" t="str">
        <f t="shared" si="57"/>
        <v>3. 6K-10K</v>
      </c>
      <c r="AJ630" s="1" t="str">
        <f t="shared" si="58"/>
        <v>1. 0-1 yrs</v>
      </c>
      <c r="AK630" s="1" t="str">
        <f t="shared" si="59"/>
        <v>3. High</v>
      </c>
      <c r="AL630" s="1" t="str">
        <f t="shared" si="60"/>
        <v>3. Better</v>
      </c>
    </row>
    <row r="631" spans="1:38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f t="shared" si="55"/>
        <v>0</v>
      </c>
      <c r="AH631" t="str">
        <f t="shared" si="56"/>
        <v>26-35</v>
      </c>
      <c r="AI631" t="str">
        <f t="shared" si="57"/>
        <v>2. 3K-6K</v>
      </c>
      <c r="AJ631" s="1" t="str">
        <f t="shared" si="58"/>
        <v>2. 2-5 yrs</v>
      </c>
      <c r="AK631" s="1" t="str">
        <f t="shared" si="59"/>
        <v>4. Very High</v>
      </c>
      <c r="AL631" s="1" t="str">
        <f t="shared" si="60"/>
        <v>3. Better</v>
      </c>
    </row>
    <row r="632" spans="1:38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f t="shared" si="55"/>
        <v>0</v>
      </c>
      <c r="AH632" t="str">
        <f t="shared" si="56"/>
        <v>18-25</v>
      </c>
      <c r="AI632" t="str">
        <f t="shared" si="57"/>
        <v>2. 3K-6K</v>
      </c>
      <c r="AJ632" s="1" t="str">
        <f t="shared" si="58"/>
        <v>2. 2-5 yrs</v>
      </c>
      <c r="AK632" s="1" t="str">
        <f t="shared" si="59"/>
        <v>4. Very High</v>
      </c>
      <c r="AL632" s="1" t="str">
        <f t="shared" si="60"/>
        <v>1. Bad</v>
      </c>
    </row>
    <row r="633" spans="1:38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f t="shared" si="55"/>
        <v>0</v>
      </c>
      <c r="AH633" t="str">
        <f t="shared" si="56"/>
        <v>36-45</v>
      </c>
      <c r="AI633" t="str">
        <f t="shared" si="57"/>
        <v>1. Under 3K</v>
      </c>
      <c r="AJ633" s="1" t="str">
        <f t="shared" si="58"/>
        <v>2. 2-5 yrs</v>
      </c>
      <c r="AK633" s="1" t="str">
        <f t="shared" si="59"/>
        <v>4. Very High</v>
      </c>
      <c r="AL633" s="1" t="str">
        <f t="shared" si="60"/>
        <v>2. Good</v>
      </c>
    </row>
    <row r="634" spans="1:38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f t="shared" si="55"/>
        <v>0</v>
      </c>
      <c r="AH634" t="str">
        <f t="shared" si="56"/>
        <v>36-45</v>
      </c>
      <c r="AI634" t="str">
        <f t="shared" si="57"/>
        <v>1. Under 3K</v>
      </c>
      <c r="AJ634" s="1" t="str">
        <f t="shared" si="58"/>
        <v>2. 2-5 yrs</v>
      </c>
      <c r="AK634" s="1" t="str">
        <f t="shared" si="59"/>
        <v>4. Very High</v>
      </c>
      <c r="AL634" s="1" t="str">
        <f t="shared" si="60"/>
        <v>3. Better</v>
      </c>
    </row>
    <row r="635" spans="1:38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f t="shared" si="55"/>
        <v>0</v>
      </c>
      <c r="AH635" t="str">
        <f t="shared" si="56"/>
        <v>36-45</v>
      </c>
      <c r="AI635" t="str">
        <f t="shared" si="57"/>
        <v>1. Under 3K</v>
      </c>
      <c r="AJ635" s="1" t="str">
        <f t="shared" si="58"/>
        <v>2. 2-5 yrs</v>
      </c>
      <c r="AK635" s="1" t="str">
        <f t="shared" si="59"/>
        <v>1. Low</v>
      </c>
      <c r="AL635" s="1" t="str">
        <f t="shared" si="60"/>
        <v>3. Better</v>
      </c>
    </row>
    <row r="636" spans="1:38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f t="shared" si="55"/>
        <v>0</v>
      </c>
      <c r="AH636" t="str">
        <f t="shared" si="56"/>
        <v>18-25</v>
      </c>
      <c r="AI636" t="str">
        <f t="shared" si="57"/>
        <v>2. 3K-6K</v>
      </c>
      <c r="AJ636" s="1" t="str">
        <f t="shared" si="58"/>
        <v>2. 2-5 yrs</v>
      </c>
      <c r="AK636" s="1" t="str">
        <f t="shared" si="59"/>
        <v>1. Low</v>
      </c>
      <c r="AL636" s="1" t="str">
        <f t="shared" si="60"/>
        <v>3. Better</v>
      </c>
    </row>
    <row r="637" spans="1:38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f t="shared" si="55"/>
        <v>0</v>
      </c>
      <c r="AH637" t="str">
        <f t="shared" si="56"/>
        <v>26-35</v>
      </c>
      <c r="AI637" t="str">
        <f t="shared" si="57"/>
        <v>4. 10K+</v>
      </c>
      <c r="AJ637" s="1" t="str">
        <f t="shared" si="58"/>
        <v>4. 10+ yrs</v>
      </c>
      <c r="AK637" s="1" t="str">
        <f t="shared" si="59"/>
        <v>3. High</v>
      </c>
      <c r="AL637" s="1" t="str">
        <f t="shared" si="60"/>
        <v>3. Better</v>
      </c>
    </row>
    <row r="638" spans="1:38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f t="shared" si="55"/>
        <v>1</v>
      </c>
      <c r="AH638" t="str">
        <f t="shared" si="56"/>
        <v>26-35</v>
      </c>
      <c r="AI638" t="str">
        <f t="shared" si="57"/>
        <v>1. Under 3K</v>
      </c>
      <c r="AJ638" s="1" t="str">
        <f t="shared" si="58"/>
        <v>3. 6-10 yrs</v>
      </c>
      <c r="AK638" s="1" t="str">
        <f t="shared" si="59"/>
        <v>2. Medium</v>
      </c>
      <c r="AL638" s="1" t="str">
        <f t="shared" si="60"/>
        <v>2. Good</v>
      </c>
    </row>
    <row r="639" spans="1:38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f t="shared" si="55"/>
        <v>0</v>
      </c>
      <c r="AH639" t="str">
        <f t="shared" si="56"/>
        <v>26-35</v>
      </c>
      <c r="AI639" t="str">
        <f t="shared" si="57"/>
        <v>1. Under 3K</v>
      </c>
      <c r="AJ639" s="1" t="str">
        <f t="shared" si="58"/>
        <v>2. 2-5 yrs</v>
      </c>
      <c r="AK639" s="1" t="str">
        <f t="shared" si="59"/>
        <v>4. Very High</v>
      </c>
      <c r="AL639" s="1" t="str">
        <f t="shared" si="60"/>
        <v>3. Better</v>
      </c>
    </row>
    <row r="640" spans="1:38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f t="shared" si="55"/>
        <v>0</v>
      </c>
      <c r="AH640" t="str">
        <f t="shared" si="56"/>
        <v>18-25</v>
      </c>
      <c r="AI640" t="str">
        <f t="shared" si="57"/>
        <v>2. 3K-6K</v>
      </c>
      <c r="AJ640" s="1" t="str">
        <f t="shared" si="58"/>
        <v>2. 2-5 yrs</v>
      </c>
      <c r="AK640" s="1" t="str">
        <f t="shared" si="59"/>
        <v>1. Low</v>
      </c>
      <c r="AL640" s="1" t="str">
        <f t="shared" si="60"/>
        <v>4. Best</v>
      </c>
    </row>
    <row r="641" spans="1:38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f t="shared" si="55"/>
        <v>0</v>
      </c>
      <c r="AH641" t="str">
        <f t="shared" si="56"/>
        <v>46-55</v>
      </c>
      <c r="AI641" t="str">
        <f t="shared" si="57"/>
        <v>2. 3K-6K</v>
      </c>
      <c r="AJ641" s="1" t="str">
        <f t="shared" si="58"/>
        <v>2. 2-5 yrs</v>
      </c>
      <c r="AK641" s="1" t="str">
        <f t="shared" si="59"/>
        <v>1. Low</v>
      </c>
      <c r="AL641" s="1" t="str">
        <f t="shared" si="60"/>
        <v>3. Better</v>
      </c>
    </row>
    <row r="642" spans="1:38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f t="shared" ref="AG642:AG705" si="61">IF(B642="Yes",1,0)</f>
        <v>0</v>
      </c>
      <c r="AH642" t="str">
        <f t="shared" ref="AH642:AH705" si="62">IF(A642&lt;26,"18-25",IF(A642&lt;36,"26-35",IF(A642&lt;46,"36-45",IF(A642&lt;56,"46-55","56+"))))</f>
        <v>18-25</v>
      </c>
      <c r="AI642" t="str">
        <f t="shared" ref="AI642:AI705" si="63">IF(R642&lt;3000,"1. Under 3K",IF(R642&lt;6000,"2. 3K-6K",IF(R642&lt;10000,"3. 6K-10K","4. 10K+")))</f>
        <v>2. 3K-6K</v>
      </c>
      <c r="AJ642" s="1" t="str">
        <f t="shared" ref="AJ642:AJ705" si="64">IF(AC642&lt;2,"1. 0-1 yrs",IF(AC642&lt;6,"2. 2-5 yrs",IF(AC642&lt;11,"3. 6-10 yrs","4. 10+ yrs")))</f>
        <v>2. 2-5 yrs</v>
      </c>
      <c r="AK642" s="1" t="str">
        <f t="shared" ref="AK642:AK705" si="65">CHOOSE(P642,"1. Low","2. Medium","3. High","4. Very High")</f>
        <v>4. Very High</v>
      </c>
      <c r="AL642" s="1" t="str">
        <f t="shared" ref="AL642:AL705" si="66">CHOOSE(AB642,"1. Bad","2. Good","3. Better","4. Best")</f>
        <v>2. Good</v>
      </c>
    </row>
    <row r="643" spans="1:38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f t="shared" si="61"/>
        <v>0</v>
      </c>
      <c r="AH643" t="str">
        <f t="shared" si="62"/>
        <v>26-35</v>
      </c>
      <c r="AI643" t="str">
        <f t="shared" si="63"/>
        <v>3. 6K-10K</v>
      </c>
      <c r="AJ643" s="1" t="str">
        <f t="shared" si="64"/>
        <v>3. 6-10 yrs</v>
      </c>
      <c r="AK643" s="1" t="str">
        <f t="shared" si="65"/>
        <v>2. Medium</v>
      </c>
      <c r="AL643" s="1" t="str">
        <f t="shared" si="66"/>
        <v>3. Better</v>
      </c>
    </row>
    <row r="644" spans="1:38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f t="shared" si="61"/>
        <v>0</v>
      </c>
      <c r="AH644" t="str">
        <f t="shared" si="62"/>
        <v>36-45</v>
      </c>
      <c r="AI644" t="str">
        <f t="shared" si="63"/>
        <v>1. Under 3K</v>
      </c>
      <c r="AJ644" s="1" t="str">
        <f t="shared" si="64"/>
        <v>2. 2-5 yrs</v>
      </c>
      <c r="AK644" s="1" t="str">
        <f t="shared" si="65"/>
        <v>2. Medium</v>
      </c>
      <c r="AL644" s="1" t="str">
        <f t="shared" si="66"/>
        <v>3. Better</v>
      </c>
    </row>
    <row r="645" spans="1:38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f t="shared" si="61"/>
        <v>0</v>
      </c>
      <c r="AH645" t="str">
        <f t="shared" si="62"/>
        <v>36-45</v>
      </c>
      <c r="AI645" t="str">
        <f t="shared" si="63"/>
        <v>2. 3K-6K</v>
      </c>
      <c r="AJ645" s="1" t="str">
        <f t="shared" si="64"/>
        <v>2. 2-5 yrs</v>
      </c>
      <c r="AK645" s="1" t="str">
        <f t="shared" si="65"/>
        <v>4. Very High</v>
      </c>
      <c r="AL645" s="1" t="str">
        <f t="shared" si="66"/>
        <v>2. Good</v>
      </c>
    </row>
    <row r="646" spans="1:38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f t="shared" si="61"/>
        <v>0</v>
      </c>
      <c r="AH646" t="str">
        <f t="shared" si="62"/>
        <v>26-35</v>
      </c>
      <c r="AI646" t="str">
        <f t="shared" si="63"/>
        <v>1. Under 3K</v>
      </c>
      <c r="AJ646" s="1" t="str">
        <f t="shared" si="64"/>
        <v>3. 6-10 yrs</v>
      </c>
      <c r="AK646" s="1" t="str">
        <f t="shared" si="65"/>
        <v>4. Very High</v>
      </c>
      <c r="AL646" s="1" t="str">
        <f t="shared" si="66"/>
        <v>3. Better</v>
      </c>
    </row>
    <row r="647" spans="1:38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f t="shared" si="61"/>
        <v>1</v>
      </c>
      <c r="AH647" t="str">
        <f t="shared" si="62"/>
        <v>26-35</v>
      </c>
      <c r="AI647" t="str">
        <f t="shared" si="63"/>
        <v>1. Under 3K</v>
      </c>
      <c r="AJ647" s="1" t="str">
        <f t="shared" si="64"/>
        <v>2. 2-5 yrs</v>
      </c>
      <c r="AK647" s="1" t="str">
        <f t="shared" si="65"/>
        <v>3. High</v>
      </c>
      <c r="AL647" s="1" t="str">
        <f t="shared" si="66"/>
        <v>3. Better</v>
      </c>
    </row>
    <row r="648" spans="1:38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f t="shared" si="61"/>
        <v>0</v>
      </c>
      <c r="AH648" t="str">
        <f t="shared" si="62"/>
        <v>46-55</v>
      </c>
      <c r="AI648" t="str">
        <f t="shared" si="63"/>
        <v>4. 10K+</v>
      </c>
      <c r="AJ648" s="1" t="str">
        <f t="shared" si="64"/>
        <v>2. 2-5 yrs</v>
      </c>
      <c r="AK648" s="1" t="str">
        <f t="shared" si="65"/>
        <v>4. Very High</v>
      </c>
      <c r="AL648" s="1" t="str">
        <f t="shared" si="66"/>
        <v>3. Better</v>
      </c>
    </row>
    <row r="649" spans="1:38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f t="shared" si="61"/>
        <v>0</v>
      </c>
      <c r="AH649" t="str">
        <f t="shared" si="62"/>
        <v>26-35</v>
      </c>
      <c r="AI649" t="str">
        <f t="shared" si="63"/>
        <v>4. 10K+</v>
      </c>
      <c r="AJ649" s="1" t="str">
        <f t="shared" si="64"/>
        <v>4. 10+ yrs</v>
      </c>
      <c r="AK649" s="1" t="str">
        <f t="shared" si="65"/>
        <v>2. Medium</v>
      </c>
      <c r="AL649" s="1" t="str">
        <f t="shared" si="66"/>
        <v>3. Better</v>
      </c>
    </row>
    <row r="650" spans="1:38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f t="shared" si="61"/>
        <v>0</v>
      </c>
      <c r="AH650" t="str">
        <f t="shared" si="62"/>
        <v>36-45</v>
      </c>
      <c r="AI650" t="str">
        <f t="shared" si="63"/>
        <v>1. Under 3K</v>
      </c>
      <c r="AJ650" s="1" t="str">
        <f t="shared" si="64"/>
        <v>2. 2-5 yrs</v>
      </c>
      <c r="AK650" s="1" t="str">
        <f t="shared" si="65"/>
        <v>4. Very High</v>
      </c>
      <c r="AL650" s="1" t="str">
        <f t="shared" si="66"/>
        <v>3. Better</v>
      </c>
    </row>
    <row r="651" spans="1:38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f t="shared" si="61"/>
        <v>0</v>
      </c>
      <c r="AH651" t="str">
        <f t="shared" si="62"/>
        <v>46-55</v>
      </c>
      <c r="AI651" t="str">
        <f t="shared" si="63"/>
        <v>4. 10K+</v>
      </c>
      <c r="AJ651" s="1" t="str">
        <f t="shared" si="64"/>
        <v>4. 10+ yrs</v>
      </c>
      <c r="AK651" s="1" t="str">
        <f t="shared" si="65"/>
        <v>4. Very High</v>
      </c>
      <c r="AL651" s="1" t="str">
        <f t="shared" si="66"/>
        <v>3. Better</v>
      </c>
    </row>
    <row r="652" spans="1:38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f t="shared" si="61"/>
        <v>0</v>
      </c>
      <c r="AH652" t="str">
        <f t="shared" si="62"/>
        <v>36-45</v>
      </c>
      <c r="AI652" t="str">
        <f t="shared" si="63"/>
        <v>2. 3K-6K</v>
      </c>
      <c r="AJ652" s="1" t="str">
        <f t="shared" si="64"/>
        <v>2. 2-5 yrs</v>
      </c>
      <c r="AK652" s="1" t="str">
        <f t="shared" si="65"/>
        <v>4. Very High</v>
      </c>
      <c r="AL652" s="1" t="str">
        <f t="shared" si="66"/>
        <v>2. Good</v>
      </c>
    </row>
    <row r="653" spans="1:38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f t="shared" si="61"/>
        <v>0</v>
      </c>
      <c r="AH653" t="str">
        <f t="shared" si="62"/>
        <v>46-55</v>
      </c>
      <c r="AI653" t="str">
        <f t="shared" si="63"/>
        <v>2. 3K-6K</v>
      </c>
      <c r="AJ653" s="1" t="str">
        <f t="shared" si="64"/>
        <v>3. 6-10 yrs</v>
      </c>
      <c r="AK653" s="1" t="str">
        <f t="shared" si="65"/>
        <v>4. Very High</v>
      </c>
      <c r="AL653" s="1" t="str">
        <f t="shared" si="66"/>
        <v>3. Better</v>
      </c>
    </row>
    <row r="654" spans="1:38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f t="shared" si="61"/>
        <v>0</v>
      </c>
      <c r="AH654" t="str">
        <f t="shared" si="62"/>
        <v>36-45</v>
      </c>
      <c r="AI654" t="str">
        <f t="shared" si="63"/>
        <v>3. 6K-10K</v>
      </c>
      <c r="AJ654" s="1" t="str">
        <f t="shared" si="64"/>
        <v>3. 6-10 yrs</v>
      </c>
      <c r="AK654" s="1" t="str">
        <f t="shared" si="65"/>
        <v>2. Medium</v>
      </c>
      <c r="AL654" s="1" t="str">
        <f t="shared" si="66"/>
        <v>3. Better</v>
      </c>
    </row>
    <row r="655" spans="1:38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f t="shared" si="61"/>
        <v>0</v>
      </c>
      <c r="AH655" t="str">
        <f t="shared" si="62"/>
        <v>46-55</v>
      </c>
      <c r="AI655" t="str">
        <f t="shared" si="63"/>
        <v>4. 10K+</v>
      </c>
      <c r="AJ655" s="1" t="str">
        <f t="shared" si="64"/>
        <v>4. 10+ yrs</v>
      </c>
      <c r="AK655" s="1" t="str">
        <f t="shared" si="65"/>
        <v>1. Low</v>
      </c>
      <c r="AL655" s="1" t="str">
        <f t="shared" si="66"/>
        <v>3. Better</v>
      </c>
    </row>
    <row r="656" spans="1:38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f t="shared" si="61"/>
        <v>0</v>
      </c>
      <c r="AH656" t="str">
        <f t="shared" si="62"/>
        <v>36-45</v>
      </c>
      <c r="AI656" t="str">
        <f t="shared" si="63"/>
        <v>2. 3K-6K</v>
      </c>
      <c r="AJ656" s="1" t="str">
        <f t="shared" si="64"/>
        <v>2. 2-5 yrs</v>
      </c>
      <c r="AK656" s="1" t="str">
        <f t="shared" si="65"/>
        <v>4. Very High</v>
      </c>
      <c r="AL656" s="1" t="str">
        <f t="shared" si="66"/>
        <v>3. Better</v>
      </c>
    </row>
    <row r="657" spans="1:38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f t="shared" si="61"/>
        <v>0</v>
      </c>
      <c r="AH657" t="str">
        <f t="shared" si="62"/>
        <v>26-35</v>
      </c>
      <c r="AI657" t="str">
        <f t="shared" si="63"/>
        <v>1. Under 3K</v>
      </c>
      <c r="AJ657" s="1" t="str">
        <f t="shared" si="64"/>
        <v>2. 2-5 yrs</v>
      </c>
      <c r="AK657" s="1" t="str">
        <f t="shared" si="65"/>
        <v>2. Medium</v>
      </c>
      <c r="AL657" s="1" t="str">
        <f t="shared" si="66"/>
        <v>4. Best</v>
      </c>
    </row>
    <row r="658" spans="1:38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f t="shared" si="61"/>
        <v>1</v>
      </c>
      <c r="AH658" t="str">
        <f t="shared" si="62"/>
        <v>26-35</v>
      </c>
      <c r="AI658" t="str">
        <f t="shared" si="63"/>
        <v>1. Under 3K</v>
      </c>
      <c r="AJ658" s="1" t="str">
        <f t="shared" si="64"/>
        <v>1. 0-1 yrs</v>
      </c>
      <c r="AK658" s="1" t="str">
        <f t="shared" si="65"/>
        <v>4. Very High</v>
      </c>
      <c r="AL658" s="1" t="str">
        <f t="shared" si="66"/>
        <v>1. Bad</v>
      </c>
    </row>
    <row r="659" spans="1:38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f t="shared" si="61"/>
        <v>0</v>
      </c>
      <c r="AH659" t="str">
        <f t="shared" si="62"/>
        <v>26-35</v>
      </c>
      <c r="AI659" t="str">
        <f t="shared" si="63"/>
        <v>1. Under 3K</v>
      </c>
      <c r="AJ659" s="1" t="str">
        <f t="shared" si="64"/>
        <v>2. 2-5 yrs</v>
      </c>
      <c r="AK659" s="1" t="str">
        <f t="shared" si="65"/>
        <v>4. Very High</v>
      </c>
      <c r="AL659" s="1" t="str">
        <f t="shared" si="66"/>
        <v>3. Better</v>
      </c>
    </row>
    <row r="660" spans="1:38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f t="shared" si="61"/>
        <v>0</v>
      </c>
      <c r="AH660" t="str">
        <f t="shared" si="62"/>
        <v>36-45</v>
      </c>
      <c r="AI660" t="str">
        <f t="shared" si="63"/>
        <v>1. Under 3K</v>
      </c>
      <c r="AJ660" s="1" t="str">
        <f t="shared" si="64"/>
        <v>3. 6-10 yrs</v>
      </c>
      <c r="AK660" s="1" t="str">
        <f t="shared" si="65"/>
        <v>1. Low</v>
      </c>
      <c r="AL660" s="1" t="str">
        <f t="shared" si="66"/>
        <v>3. Better</v>
      </c>
    </row>
    <row r="661" spans="1:38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f t="shared" si="61"/>
        <v>0</v>
      </c>
      <c r="AH661" t="str">
        <f t="shared" si="62"/>
        <v>26-35</v>
      </c>
      <c r="AI661" t="str">
        <f t="shared" si="63"/>
        <v>2. 3K-6K</v>
      </c>
      <c r="AJ661" s="1" t="str">
        <f t="shared" si="64"/>
        <v>2. 2-5 yrs</v>
      </c>
      <c r="AK661" s="1" t="str">
        <f t="shared" si="65"/>
        <v>4. Very High</v>
      </c>
      <c r="AL661" s="1" t="str">
        <f t="shared" si="66"/>
        <v>3. Better</v>
      </c>
    </row>
    <row r="662" spans="1:38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f t="shared" si="61"/>
        <v>1</v>
      </c>
      <c r="AH662" t="str">
        <f t="shared" si="62"/>
        <v>56+</v>
      </c>
      <c r="AI662" t="str">
        <f t="shared" si="63"/>
        <v>1. Under 3K</v>
      </c>
      <c r="AJ662" s="1" t="str">
        <f t="shared" si="64"/>
        <v>1. 0-1 yrs</v>
      </c>
      <c r="AK662" s="1" t="str">
        <f t="shared" si="65"/>
        <v>4. Very High</v>
      </c>
      <c r="AL662" s="1" t="str">
        <f t="shared" si="66"/>
        <v>2. Good</v>
      </c>
    </row>
    <row r="663" spans="1:38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f t="shared" si="61"/>
        <v>0</v>
      </c>
      <c r="AH663" t="str">
        <f t="shared" si="62"/>
        <v>36-45</v>
      </c>
      <c r="AI663" t="str">
        <f t="shared" si="63"/>
        <v>2. 3K-6K</v>
      </c>
      <c r="AJ663" s="1" t="str">
        <f t="shared" si="64"/>
        <v>1. 0-1 yrs</v>
      </c>
      <c r="AK663" s="1" t="str">
        <f t="shared" si="65"/>
        <v>2. Medium</v>
      </c>
      <c r="AL663" s="1" t="str">
        <f t="shared" si="66"/>
        <v>4. Best</v>
      </c>
    </row>
    <row r="664" spans="1:38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f t="shared" si="61"/>
        <v>1</v>
      </c>
      <c r="AH664" t="str">
        <f t="shared" si="62"/>
        <v>18-25</v>
      </c>
      <c r="AI664" t="str">
        <f t="shared" si="63"/>
        <v>1. Under 3K</v>
      </c>
      <c r="AJ664" s="1" t="str">
        <f t="shared" si="64"/>
        <v>2. 2-5 yrs</v>
      </c>
      <c r="AK664" s="1" t="str">
        <f t="shared" si="65"/>
        <v>3. High</v>
      </c>
      <c r="AL664" s="1" t="str">
        <f t="shared" si="66"/>
        <v>2. Good</v>
      </c>
    </row>
    <row r="665" spans="1:38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f t="shared" si="61"/>
        <v>1</v>
      </c>
      <c r="AH665" t="str">
        <f t="shared" si="62"/>
        <v>18-25</v>
      </c>
      <c r="AI665" t="str">
        <f t="shared" si="63"/>
        <v>1. Under 3K</v>
      </c>
      <c r="AJ665" s="1" t="str">
        <f t="shared" si="64"/>
        <v>1. 0-1 yrs</v>
      </c>
      <c r="AK665" s="1" t="str">
        <f t="shared" si="65"/>
        <v>4. Very High</v>
      </c>
      <c r="AL665" s="1" t="str">
        <f t="shared" si="66"/>
        <v>2. Good</v>
      </c>
    </row>
    <row r="666" spans="1:38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f t="shared" si="61"/>
        <v>0</v>
      </c>
      <c r="AH666" t="str">
        <f t="shared" si="62"/>
        <v>36-45</v>
      </c>
      <c r="AI666" t="str">
        <f t="shared" si="63"/>
        <v>3. 6K-10K</v>
      </c>
      <c r="AJ666" s="1" t="str">
        <f t="shared" si="64"/>
        <v>4. 10+ yrs</v>
      </c>
      <c r="AK666" s="1" t="str">
        <f t="shared" si="65"/>
        <v>4. Very High</v>
      </c>
      <c r="AL666" s="1" t="str">
        <f t="shared" si="66"/>
        <v>2. Good</v>
      </c>
    </row>
    <row r="667" spans="1:38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f t="shared" si="61"/>
        <v>0</v>
      </c>
      <c r="AH667" t="str">
        <f t="shared" si="62"/>
        <v>46-55</v>
      </c>
      <c r="AI667" t="str">
        <f t="shared" si="63"/>
        <v>2. 3K-6K</v>
      </c>
      <c r="AJ667" s="1" t="str">
        <f t="shared" si="64"/>
        <v>2. 2-5 yrs</v>
      </c>
      <c r="AK667" s="1" t="str">
        <f t="shared" si="65"/>
        <v>4. Very High</v>
      </c>
      <c r="AL667" s="1" t="str">
        <f t="shared" si="66"/>
        <v>2. Good</v>
      </c>
    </row>
    <row r="668" spans="1:38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f t="shared" si="61"/>
        <v>1</v>
      </c>
      <c r="AH668" t="str">
        <f t="shared" si="62"/>
        <v>18-25</v>
      </c>
      <c r="AI668" t="str">
        <f t="shared" si="63"/>
        <v>2. 3K-6K</v>
      </c>
      <c r="AJ668" s="1" t="str">
        <f t="shared" si="64"/>
        <v>2. 2-5 yrs</v>
      </c>
      <c r="AK668" s="1" t="str">
        <f t="shared" si="65"/>
        <v>3. High</v>
      </c>
      <c r="AL668" s="1" t="str">
        <f t="shared" si="66"/>
        <v>4. Best</v>
      </c>
    </row>
    <row r="669" spans="1:38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f t="shared" si="61"/>
        <v>1</v>
      </c>
      <c r="AH669" t="str">
        <f t="shared" si="62"/>
        <v>36-45</v>
      </c>
      <c r="AI669" t="str">
        <f t="shared" si="63"/>
        <v>1. Under 3K</v>
      </c>
      <c r="AJ669" s="1" t="str">
        <f t="shared" si="64"/>
        <v>3. 6-10 yrs</v>
      </c>
      <c r="AK669" s="1" t="str">
        <f t="shared" si="65"/>
        <v>4. Very High</v>
      </c>
      <c r="AL669" s="1" t="str">
        <f t="shared" si="66"/>
        <v>2. Good</v>
      </c>
    </row>
    <row r="670" spans="1:38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f t="shared" si="61"/>
        <v>0</v>
      </c>
      <c r="AH670" t="str">
        <f t="shared" si="62"/>
        <v>26-35</v>
      </c>
      <c r="AI670" t="str">
        <f t="shared" si="63"/>
        <v>1. Under 3K</v>
      </c>
      <c r="AJ670" s="1" t="str">
        <f t="shared" si="64"/>
        <v>2. 2-5 yrs</v>
      </c>
      <c r="AK670" s="1" t="str">
        <f t="shared" si="65"/>
        <v>3. High</v>
      </c>
      <c r="AL670" s="1" t="str">
        <f t="shared" si="66"/>
        <v>3. Better</v>
      </c>
    </row>
    <row r="671" spans="1:38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f t="shared" si="61"/>
        <v>1</v>
      </c>
      <c r="AH671" t="str">
        <f t="shared" si="62"/>
        <v>36-45</v>
      </c>
      <c r="AI671" t="str">
        <f t="shared" si="63"/>
        <v>1. Under 3K</v>
      </c>
      <c r="AJ671" s="1" t="str">
        <f t="shared" si="64"/>
        <v>2. 2-5 yrs</v>
      </c>
      <c r="AK671" s="1" t="str">
        <f t="shared" si="65"/>
        <v>1. Low</v>
      </c>
      <c r="AL671" s="1" t="str">
        <f t="shared" si="66"/>
        <v>1. Bad</v>
      </c>
    </row>
    <row r="672" spans="1:38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f t="shared" si="61"/>
        <v>0</v>
      </c>
      <c r="AH672" t="str">
        <f t="shared" si="62"/>
        <v>26-35</v>
      </c>
      <c r="AI672" t="str">
        <f t="shared" si="63"/>
        <v>1. Under 3K</v>
      </c>
      <c r="AJ672" s="1" t="str">
        <f t="shared" si="64"/>
        <v>1. 0-1 yrs</v>
      </c>
      <c r="AK672" s="1" t="str">
        <f t="shared" si="65"/>
        <v>3. High</v>
      </c>
      <c r="AL672" s="1" t="str">
        <f t="shared" si="66"/>
        <v>3. Better</v>
      </c>
    </row>
    <row r="673" spans="1:38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f t="shared" si="61"/>
        <v>0</v>
      </c>
      <c r="AH673" t="str">
        <f t="shared" si="62"/>
        <v>26-35</v>
      </c>
      <c r="AI673" t="str">
        <f t="shared" si="63"/>
        <v>1. Under 3K</v>
      </c>
      <c r="AJ673" s="1" t="str">
        <f t="shared" si="64"/>
        <v>1. 0-1 yrs</v>
      </c>
      <c r="AK673" s="1" t="str">
        <f t="shared" si="65"/>
        <v>2. Medium</v>
      </c>
      <c r="AL673" s="1" t="str">
        <f t="shared" si="66"/>
        <v>3. Better</v>
      </c>
    </row>
    <row r="674" spans="1:38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f t="shared" si="61"/>
        <v>0</v>
      </c>
      <c r="AH674" t="str">
        <f t="shared" si="62"/>
        <v>36-45</v>
      </c>
      <c r="AI674" t="str">
        <f t="shared" si="63"/>
        <v>3. 6K-10K</v>
      </c>
      <c r="AJ674" s="1" t="str">
        <f t="shared" si="64"/>
        <v>2. 2-5 yrs</v>
      </c>
      <c r="AK674" s="1" t="str">
        <f t="shared" si="65"/>
        <v>3. High</v>
      </c>
      <c r="AL674" s="1" t="str">
        <f t="shared" si="66"/>
        <v>3. Better</v>
      </c>
    </row>
    <row r="675" spans="1:38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f t="shared" si="61"/>
        <v>0</v>
      </c>
      <c r="AH675" t="str">
        <f t="shared" si="62"/>
        <v>26-35</v>
      </c>
      <c r="AI675" t="str">
        <f t="shared" si="63"/>
        <v>1. Under 3K</v>
      </c>
      <c r="AJ675" s="1" t="str">
        <f t="shared" si="64"/>
        <v>2. 2-5 yrs</v>
      </c>
      <c r="AK675" s="1" t="str">
        <f t="shared" si="65"/>
        <v>1. Low</v>
      </c>
      <c r="AL675" s="1" t="str">
        <f t="shared" si="66"/>
        <v>3. Better</v>
      </c>
    </row>
    <row r="676" spans="1:38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f t="shared" si="61"/>
        <v>0</v>
      </c>
      <c r="AH676" t="str">
        <f t="shared" si="62"/>
        <v>56+</v>
      </c>
      <c r="AI676" t="str">
        <f t="shared" si="63"/>
        <v>4. 10K+</v>
      </c>
      <c r="AJ676" s="1" t="str">
        <f t="shared" si="64"/>
        <v>3. 6-10 yrs</v>
      </c>
      <c r="AK676" s="1" t="str">
        <f t="shared" si="65"/>
        <v>2. Medium</v>
      </c>
      <c r="AL676" s="1" t="str">
        <f t="shared" si="66"/>
        <v>3. Better</v>
      </c>
    </row>
    <row r="677" spans="1:38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f t="shared" si="61"/>
        <v>0</v>
      </c>
      <c r="AH677" t="str">
        <f t="shared" si="62"/>
        <v>26-35</v>
      </c>
      <c r="AI677" t="str">
        <f t="shared" si="63"/>
        <v>1. Under 3K</v>
      </c>
      <c r="AJ677" s="1" t="str">
        <f t="shared" si="64"/>
        <v>3. 6-10 yrs</v>
      </c>
      <c r="AK677" s="1" t="str">
        <f t="shared" si="65"/>
        <v>3. High</v>
      </c>
      <c r="AL677" s="1" t="str">
        <f t="shared" si="66"/>
        <v>4. Best</v>
      </c>
    </row>
    <row r="678" spans="1:38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f t="shared" si="61"/>
        <v>0</v>
      </c>
      <c r="AH678" t="str">
        <f t="shared" si="62"/>
        <v>26-35</v>
      </c>
      <c r="AI678" t="str">
        <f t="shared" si="63"/>
        <v>2. 3K-6K</v>
      </c>
      <c r="AJ678" s="1" t="str">
        <f t="shared" si="64"/>
        <v>3. 6-10 yrs</v>
      </c>
      <c r="AK678" s="1" t="str">
        <f t="shared" si="65"/>
        <v>4. Very High</v>
      </c>
      <c r="AL678" s="1" t="str">
        <f t="shared" si="66"/>
        <v>1. Bad</v>
      </c>
    </row>
    <row r="679" spans="1:38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f t="shared" si="61"/>
        <v>0</v>
      </c>
      <c r="AH679" t="str">
        <f t="shared" si="62"/>
        <v>46-55</v>
      </c>
      <c r="AI679" t="str">
        <f t="shared" si="63"/>
        <v>3. 6K-10K</v>
      </c>
      <c r="AJ679" s="1" t="str">
        <f t="shared" si="64"/>
        <v>4. 10+ yrs</v>
      </c>
      <c r="AK679" s="1" t="str">
        <f t="shared" si="65"/>
        <v>2. Medium</v>
      </c>
      <c r="AL679" s="1" t="str">
        <f t="shared" si="66"/>
        <v>2. Good</v>
      </c>
    </row>
    <row r="680" spans="1:38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f t="shared" si="61"/>
        <v>0</v>
      </c>
      <c r="AH680" t="str">
        <f t="shared" si="62"/>
        <v>46-55</v>
      </c>
      <c r="AI680" t="str">
        <f t="shared" si="63"/>
        <v>1. Under 3K</v>
      </c>
      <c r="AJ680" s="1" t="str">
        <f t="shared" si="64"/>
        <v>1. 0-1 yrs</v>
      </c>
      <c r="AK680" s="1" t="str">
        <f t="shared" si="65"/>
        <v>3. High</v>
      </c>
      <c r="AL680" s="1" t="str">
        <f t="shared" si="66"/>
        <v>2. Good</v>
      </c>
    </row>
    <row r="681" spans="1:38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f t="shared" si="61"/>
        <v>0</v>
      </c>
      <c r="AH681" t="str">
        <f t="shared" si="62"/>
        <v>26-35</v>
      </c>
      <c r="AI681" t="str">
        <f t="shared" si="63"/>
        <v>3. 6K-10K</v>
      </c>
      <c r="AJ681" s="1" t="str">
        <f t="shared" si="64"/>
        <v>3. 6-10 yrs</v>
      </c>
      <c r="AK681" s="1" t="str">
        <f t="shared" si="65"/>
        <v>3. High</v>
      </c>
      <c r="AL681" s="1" t="str">
        <f t="shared" si="66"/>
        <v>2. Good</v>
      </c>
    </row>
    <row r="682" spans="1:38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f t="shared" si="61"/>
        <v>0</v>
      </c>
      <c r="AH682" t="str">
        <f t="shared" si="62"/>
        <v>36-45</v>
      </c>
      <c r="AI682" t="str">
        <f t="shared" si="63"/>
        <v>2. 3K-6K</v>
      </c>
      <c r="AJ682" s="1" t="str">
        <f t="shared" si="64"/>
        <v>3. 6-10 yrs</v>
      </c>
      <c r="AK682" s="1" t="str">
        <f t="shared" si="65"/>
        <v>4. Very High</v>
      </c>
      <c r="AL682" s="1" t="str">
        <f t="shared" si="66"/>
        <v>3. Better</v>
      </c>
    </row>
    <row r="683" spans="1:38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f t="shared" si="61"/>
        <v>0</v>
      </c>
      <c r="AH683" t="str">
        <f t="shared" si="62"/>
        <v>36-45</v>
      </c>
      <c r="AI683" t="str">
        <f t="shared" si="63"/>
        <v>4. 10K+</v>
      </c>
      <c r="AJ683" s="1" t="str">
        <f t="shared" si="64"/>
        <v>4. 10+ yrs</v>
      </c>
      <c r="AK683" s="1" t="str">
        <f t="shared" si="65"/>
        <v>1. Low</v>
      </c>
      <c r="AL683" s="1" t="str">
        <f t="shared" si="66"/>
        <v>3. Better</v>
      </c>
    </row>
    <row r="684" spans="1:38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f t="shared" si="61"/>
        <v>0</v>
      </c>
      <c r="AH684" t="str">
        <f t="shared" si="62"/>
        <v>26-35</v>
      </c>
      <c r="AI684" t="str">
        <f t="shared" si="63"/>
        <v>1. Under 3K</v>
      </c>
      <c r="AJ684" s="1" t="str">
        <f t="shared" si="64"/>
        <v>2. 2-5 yrs</v>
      </c>
      <c r="AK684" s="1" t="str">
        <f t="shared" si="65"/>
        <v>2. Medium</v>
      </c>
      <c r="AL684" s="1" t="str">
        <f t="shared" si="66"/>
        <v>3. Better</v>
      </c>
    </row>
    <row r="685" spans="1:38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f t="shared" si="61"/>
        <v>1</v>
      </c>
      <c r="AH685" t="str">
        <f t="shared" si="62"/>
        <v>18-25</v>
      </c>
      <c r="AI685" t="str">
        <f t="shared" si="63"/>
        <v>1. Under 3K</v>
      </c>
      <c r="AJ685" s="1" t="str">
        <f t="shared" si="64"/>
        <v>1. 0-1 yrs</v>
      </c>
      <c r="AK685" s="1" t="str">
        <f t="shared" si="65"/>
        <v>2. Medium</v>
      </c>
      <c r="AL685" s="1" t="str">
        <f t="shared" si="66"/>
        <v>3. Better</v>
      </c>
    </row>
    <row r="686" spans="1:38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f t="shared" si="61"/>
        <v>0</v>
      </c>
      <c r="AH686" t="str">
        <f t="shared" si="62"/>
        <v>36-45</v>
      </c>
      <c r="AI686" t="str">
        <f t="shared" si="63"/>
        <v>3. 6K-10K</v>
      </c>
      <c r="AJ686" s="1" t="str">
        <f t="shared" si="64"/>
        <v>1. 0-1 yrs</v>
      </c>
      <c r="AK686" s="1" t="str">
        <f t="shared" si="65"/>
        <v>2. Medium</v>
      </c>
      <c r="AL686" s="1" t="str">
        <f t="shared" si="66"/>
        <v>2. Good</v>
      </c>
    </row>
    <row r="687" spans="1:38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f t="shared" si="61"/>
        <v>0</v>
      </c>
      <c r="AH687" t="str">
        <f t="shared" si="62"/>
        <v>26-35</v>
      </c>
      <c r="AI687" t="str">
        <f t="shared" si="63"/>
        <v>2. 3K-6K</v>
      </c>
      <c r="AJ687" s="1" t="str">
        <f t="shared" si="64"/>
        <v>3. 6-10 yrs</v>
      </c>
      <c r="AK687" s="1" t="str">
        <f t="shared" si="65"/>
        <v>1. Low</v>
      </c>
      <c r="AL687" s="1" t="str">
        <f t="shared" si="66"/>
        <v>3. Better</v>
      </c>
    </row>
    <row r="688" spans="1:38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f t="shared" si="61"/>
        <v>0</v>
      </c>
      <c r="AH688" t="str">
        <f t="shared" si="62"/>
        <v>36-45</v>
      </c>
      <c r="AI688" t="str">
        <f t="shared" si="63"/>
        <v>2. 3K-6K</v>
      </c>
      <c r="AJ688" s="1" t="str">
        <f t="shared" si="64"/>
        <v>4. 10+ yrs</v>
      </c>
      <c r="AK688" s="1" t="str">
        <f t="shared" si="65"/>
        <v>1. Low</v>
      </c>
      <c r="AL688" s="1" t="str">
        <f t="shared" si="66"/>
        <v>3. Better</v>
      </c>
    </row>
    <row r="689" spans="1:38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f t="shared" si="61"/>
        <v>0</v>
      </c>
      <c r="AH689" t="str">
        <f t="shared" si="62"/>
        <v>36-45</v>
      </c>
      <c r="AI689" t="str">
        <f t="shared" si="63"/>
        <v>1. Under 3K</v>
      </c>
      <c r="AJ689" s="1" t="str">
        <f t="shared" si="64"/>
        <v>4. 10+ yrs</v>
      </c>
      <c r="AK689" s="1" t="str">
        <f t="shared" si="65"/>
        <v>3. High</v>
      </c>
      <c r="AL689" s="1" t="str">
        <f t="shared" si="66"/>
        <v>3. Better</v>
      </c>
    </row>
    <row r="690" spans="1:38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f t="shared" si="61"/>
        <v>1</v>
      </c>
      <c r="AH690" t="str">
        <f t="shared" si="62"/>
        <v>18-25</v>
      </c>
      <c r="AI690" t="str">
        <f t="shared" si="63"/>
        <v>1. Under 3K</v>
      </c>
      <c r="AJ690" s="1" t="str">
        <f t="shared" si="64"/>
        <v>1. 0-1 yrs</v>
      </c>
      <c r="AK690" s="1" t="str">
        <f t="shared" si="65"/>
        <v>2. Medium</v>
      </c>
      <c r="AL690" s="1" t="str">
        <f t="shared" si="66"/>
        <v>4. Best</v>
      </c>
    </row>
    <row r="691" spans="1:38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f t="shared" si="61"/>
        <v>1</v>
      </c>
      <c r="AH691" t="str">
        <f t="shared" si="62"/>
        <v>18-25</v>
      </c>
      <c r="AI691" t="str">
        <f t="shared" si="63"/>
        <v>1. Under 3K</v>
      </c>
      <c r="AJ691" s="1" t="str">
        <f t="shared" si="64"/>
        <v>1. 0-1 yrs</v>
      </c>
      <c r="AK691" s="1" t="str">
        <f t="shared" si="65"/>
        <v>1. Low</v>
      </c>
      <c r="AL691" s="1" t="str">
        <f t="shared" si="66"/>
        <v>3. Better</v>
      </c>
    </row>
    <row r="692" spans="1:38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f t="shared" si="61"/>
        <v>0</v>
      </c>
      <c r="AH692" t="str">
        <f t="shared" si="62"/>
        <v>26-35</v>
      </c>
      <c r="AI692" t="str">
        <f t="shared" si="63"/>
        <v>2. 3K-6K</v>
      </c>
      <c r="AJ692" s="1" t="str">
        <f t="shared" si="64"/>
        <v>3. 6-10 yrs</v>
      </c>
      <c r="AK692" s="1" t="str">
        <f t="shared" si="65"/>
        <v>4. Very High</v>
      </c>
      <c r="AL692" s="1" t="str">
        <f t="shared" si="66"/>
        <v>1. Bad</v>
      </c>
    </row>
    <row r="693" spans="1:38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f t="shared" si="61"/>
        <v>0</v>
      </c>
      <c r="AH693" t="str">
        <f t="shared" si="62"/>
        <v>36-45</v>
      </c>
      <c r="AI693" t="str">
        <f t="shared" si="63"/>
        <v>2. 3K-6K</v>
      </c>
      <c r="AJ693" s="1" t="str">
        <f t="shared" si="64"/>
        <v>1. 0-1 yrs</v>
      </c>
      <c r="AK693" s="1" t="str">
        <f t="shared" si="65"/>
        <v>2. Medium</v>
      </c>
      <c r="AL693" s="1" t="str">
        <f t="shared" si="66"/>
        <v>3. Better</v>
      </c>
    </row>
    <row r="694" spans="1:38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f t="shared" si="61"/>
        <v>0</v>
      </c>
      <c r="AH694" t="str">
        <f t="shared" si="62"/>
        <v>26-35</v>
      </c>
      <c r="AI694" t="str">
        <f t="shared" si="63"/>
        <v>3. 6K-10K</v>
      </c>
      <c r="AJ694" s="1" t="str">
        <f t="shared" si="64"/>
        <v>3. 6-10 yrs</v>
      </c>
      <c r="AK694" s="1" t="str">
        <f t="shared" si="65"/>
        <v>1. Low</v>
      </c>
      <c r="AL694" s="1" t="str">
        <f t="shared" si="66"/>
        <v>4. Best</v>
      </c>
    </row>
    <row r="695" spans="1:38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f t="shared" si="61"/>
        <v>1</v>
      </c>
      <c r="AH695" t="str">
        <f t="shared" si="62"/>
        <v>36-45</v>
      </c>
      <c r="AI695" t="str">
        <f t="shared" si="63"/>
        <v>4. 10K+</v>
      </c>
      <c r="AJ695" s="1" t="str">
        <f t="shared" si="64"/>
        <v>4. 10+ yrs</v>
      </c>
      <c r="AK695" s="1" t="str">
        <f t="shared" si="65"/>
        <v>4. Very High</v>
      </c>
      <c r="AL695" s="1" t="str">
        <f t="shared" si="66"/>
        <v>3. Better</v>
      </c>
    </row>
    <row r="696" spans="1:38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f t="shared" si="61"/>
        <v>0</v>
      </c>
      <c r="AH696" t="str">
        <f t="shared" si="62"/>
        <v>26-35</v>
      </c>
      <c r="AI696" t="str">
        <f t="shared" si="63"/>
        <v>3. 6K-10K</v>
      </c>
      <c r="AJ696" s="1" t="str">
        <f t="shared" si="64"/>
        <v>2. 2-5 yrs</v>
      </c>
      <c r="AK696" s="1" t="str">
        <f t="shared" si="65"/>
        <v>4. Very High</v>
      </c>
      <c r="AL696" s="1" t="str">
        <f t="shared" si="66"/>
        <v>3. Better</v>
      </c>
    </row>
    <row r="697" spans="1:38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f t="shared" si="61"/>
        <v>1</v>
      </c>
      <c r="AH697" t="str">
        <f t="shared" si="62"/>
        <v>36-45</v>
      </c>
      <c r="AI697" t="str">
        <f t="shared" si="63"/>
        <v>4. 10K+</v>
      </c>
      <c r="AJ697" s="1" t="str">
        <f t="shared" si="64"/>
        <v>4. 10+ yrs</v>
      </c>
      <c r="AK697" s="1" t="str">
        <f t="shared" si="65"/>
        <v>3. High</v>
      </c>
      <c r="AL697" s="1" t="str">
        <f t="shared" si="66"/>
        <v>1. Bad</v>
      </c>
    </row>
    <row r="698" spans="1:38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f t="shared" si="61"/>
        <v>0</v>
      </c>
      <c r="AH698" t="str">
        <f t="shared" si="62"/>
        <v>36-45</v>
      </c>
      <c r="AI698" t="str">
        <f t="shared" si="63"/>
        <v>2. 3K-6K</v>
      </c>
      <c r="AJ698" s="1" t="str">
        <f t="shared" si="64"/>
        <v>3. 6-10 yrs</v>
      </c>
      <c r="AK698" s="1" t="str">
        <f t="shared" si="65"/>
        <v>2. Medium</v>
      </c>
      <c r="AL698" s="1" t="str">
        <f t="shared" si="66"/>
        <v>2. Good</v>
      </c>
    </row>
    <row r="699" spans="1:38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f t="shared" si="61"/>
        <v>0</v>
      </c>
      <c r="AH699" t="str">
        <f t="shared" si="62"/>
        <v>26-35</v>
      </c>
      <c r="AI699" t="str">
        <f t="shared" si="63"/>
        <v>1. Under 3K</v>
      </c>
      <c r="AJ699" s="1" t="str">
        <f t="shared" si="64"/>
        <v>2. 2-5 yrs</v>
      </c>
      <c r="AK699" s="1" t="str">
        <f t="shared" si="65"/>
        <v>4. Very High</v>
      </c>
      <c r="AL699" s="1" t="str">
        <f t="shared" si="66"/>
        <v>3. Better</v>
      </c>
    </row>
    <row r="700" spans="1:38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f t="shared" si="61"/>
        <v>0</v>
      </c>
      <c r="AH700" t="str">
        <f t="shared" si="62"/>
        <v>26-35</v>
      </c>
      <c r="AI700" t="str">
        <f t="shared" si="63"/>
        <v>2. 3K-6K</v>
      </c>
      <c r="AJ700" s="1" t="str">
        <f t="shared" si="64"/>
        <v>2. 2-5 yrs</v>
      </c>
      <c r="AK700" s="1" t="str">
        <f t="shared" si="65"/>
        <v>3. High</v>
      </c>
      <c r="AL700" s="1" t="str">
        <f t="shared" si="66"/>
        <v>3. Better</v>
      </c>
    </row>
    <row r="701" spans="1:38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f t="shared" si="61"/>
        <v>0</v>
      </c>
      <c r="AH701" t="str">
        <f t="shared" si="62"/>
        <v>46-55</v>
      </c>
      <c r="AI701" t="str">
        <f t="shared" si="63"/>
        <v>4. 10K+</v>
      </c>
      <c r="AJ701" s="1" t="str">
        <f t="shared" si="64"/>
        <v>3. 6-10 yrs</v>
      </c>
      <c r="AK701" s="1" t="str">
        <f t="shared" si="65"/>
        <v>4. Very High</v>
      </c>
      <c r="AL701" s="1" t="str">
        <f t="shared" si="66"/>
        <v>2. Good</v>
      </c>
    </row>
    <row r="702" spans="1:38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f t="shared" si="61"/>
        <v>1</v>
      </c>
      <c r="AH702" t="str">
        <f t="shared" si="62"/>
        <v>56+</v>
      </c>
      <c r="AI702" t="str">
        <f t="shared" si="63"/>
        <v>1. Under 3K</v>
      </c>
      <c r="AJ702" s="1" t="str">
        <f t="shared" si="64"/>
        <v>1. 0-1 yrs</v>
      </c>
      <c r="AK702" s="1" t="str">
        <f t="shared" si="65"/>
        <v>3. High</v>
      </c>
      <c r="AL702" s="1" t="str">
        <f t="shared" si="66"/>
        <v>3. Better</v>
      </c>
    </row>
    <row r="703" spans="1:38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f t="shared" si="61"/>
        <v>0</v>
      </c>
      <c r="AH703" t="str">
        <f t="shared" si="62"/>
        <v>46-55</v>
      </c>
      <c r="AI703" t="str">
        <f t="shared" si="63"/>
        <v>4. 10K+</v>
      </c>
      <c r="AJ703" s="1" t="str">
        <f t="shared" si="64"/>
        <v>4. 10+ yrs</v>
      </c>
      <c r="AK703" s="1" t="str">
        <f t="shared" si="65"/>
        <v>3. High</v>
      </c>
      <c r="AL703" s="1" t="str">
        <f t="shared" si="66"/>
        <v>4. Best</v>
      </c>
    </row>
    <row r="704" spans="1:38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f t="shared" si="61"/>
        <v>0</v>
      </c>
      <c r="AH704" t="str">
        <f t="shared" si="62"/>
        <v>26-35</v>
      </c>
      <c r="AI704" t="str">
        <f t="shared" si="63"/>
        <v>3. 6K-10K</v>
      </c>
      <c r="AJ704" s="1" t="str">
        <f t="shared" si="64"/>
        <v>3. 6-10 yrs</v>
      </c>
      <c r="AK704" s="1" t="str">
        <f t="shared" si="65"/>
        <v>3. High</v>
      </c>
      <c r="AL704" s="1" t="str">
        <f t="shared" si="66"/>
        <v>4. Best</v>
      </c>
    </row>
    <row r="705" spans="1:38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f t="shared" si="61"/>
        <v>0</v>
      </c>
      <c r="AH705" t="str">
        <f t="shared" si="62"/>
        <v>36-45</v>
      </c>
      <c r="AI705" t="str">
        <f t="shared" si="63"/>
        <v>2. 3K-6K</v>
      </c>
      <c r="AJ705" s="1" t="str">
        <f t="shared" si="64"/>
        <v>2. 2-5 yrs</v>
      </c>
      <c r="AK705" s="1" t="str">
        <f t="shared" si="65"/>
        <v>4. Very High</v>
      </c>
      <c r="AL705" s="1" t="str">
        <f t="shared" si="66"/>
        <v>3. Better</v>
      </c>
    </row>
    <row r="706" spans="1:38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f t="shared" ref="AG706:AG769" si="67">IF(B706="Yes",1,0)</f>
        <v>0</v>
      </c>
      <c r="AH706" t="str">
        <f t="shared" ref="AH706:AH769" si="68">IF(A706&lt;26,"18-25",IF(A706&lt;36,"26-35",IF(A706&lt;46,"36-45",IF(A706&lt;56,"46-55","56+"))))</f>
        <v>26-35</v>
      </c>
      <c r="AI706" t="str">
        <f t="shared" ref="AI706:AI769" si="69">IF(R706&lt;3000,"1. Under 3K",IF(R706&lt;6000,"2. 3K-6K",IF(R706&lt;10000,"3. 6K-10K","4. 10K+")))</f>
        <v>3. 6K-10K</v>
      </c>
      <c r="AJ706" s="1" t="str">
        <f t="shared" ref="AJ706:AJ769" si="70">IF(AC706&lt;2,"1. 0-1 yrs",IF(AC706&lt;6,"2. 2-5 yrs",IF(AC706&lt;11,"3. 6-10 yrs","4. 10+ yrs")))</f>
        <v>3. 6-10 yrs</v>
      </c>
      <c r="AK706" s="1" t="str">
        <f t="shared" ref="AK706:AK769" si="71">CHOOSE(P706,"1. Low","2. Medium","3. High","4. Very High")</f>
        <v>4. Very High</v>
      </c>
      <c r="AL706" s="1" t="str">
        <f t="shared" ref="AL706:AL769" si="72">CHOOSE(AB706,"1. Bad","2. Good","3. Better","4. Best")</f>
        <v>3. Better</v>
      </c>
    </row>
    <row r="707" spans="1:38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f t="shared" si="67"/>
        <v>0</v>
      </c>
      <c r="AH707" t="str">
        <f t="shared" si="68"/>
        <v>36-45</v>
      </c>
      <c r="AI707" t="str">
        <f t="shared" si="69"/>
        <v>3. 6K-10K</v>
      </c>
      <c r="AJ707" s="1" t="str">
        <f t="shared" si="70"/>
        <v>3. 6-10 yrs</v>
      </c>
      <c r="AK707" s="1" t="str">
        <f t="shared" si="71"/>
        <v>3. High</v>
      </c>
      <c r="AL707" s="1" t="str">
        <f t="shared" si="72"/>
        <v>3. Better</v>
      </c>
    </row>
    <row r="708" spans="1:38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f t="shared" si="67"/>
        <v>1</v>
      </c>
      <c r="AH708" t="str">
        <f t="shared" si="68"/>
        <v>36-45</v>
      </c>
      <c r="AI708" t="str">
        <f t="shared" si="69"/>
        <v>4. 10K+</v>
      </c>
      <c r="AJ708" s="1" t="str">
        <f t="shared" si="70"/>
        <v>1. 0-1 yrs</v>
      </c>
      <c r="AK708" s="1" t="str">
        <f t="shared" si="71"/>
        <v>2. Medium</v>
      </c>
      <c r="AL708" s="1" t="str">
        <f t="shared" si="72"/>
        <v>2. Good</v>
      </c>
    </row>
    <row r="709" spans="1:38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f t="shared" si="67"/>
        <v>0</v>
      </c>
      <c r="AH709" t="str">
        <f t="shared" si="68"/>
        <v>46-55</v>
      </c>
      <c r="AI709" t="str">
        <f t="shared" si="69"/>
        <v>2. 3K-6K</v>
      </c>
      <c r="AJ709" s="1" t="str">
        <f t="shared" si="70"/>
        <v>4. 10+ yrs</v>
      </c>
      <c r="AK709" s="1" t="str">
        <f t="shared" si="71"/>
        <v>3. High</v>
      </c>
      <c r="AL709" s="1" t="str">
        <f t="shared" si="72"/>
        <v>4. Best</v>
      </c>
    </row>
    <row r="710" spans="1:38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f t="shared" si="67"/>
        <v>0</v>
      </c>
      <c r="AH710" t="str">
        <f t="shared" si="68"/>
        <v>36-45</v>
      </c>
      <c r="AI710" t="str">
        <f t="shared" si="69"/>
        <v>2. 3K-6K</v>
      </c>
      <c r="AJ710" s="1" t="str">
        <f t="shared" si="70"/>
        <v>3. 6-10 yrs</v>
      </c>
      <c r="AK710" s="1" t="str">
        <f t="shared" si="71"/>
        <v>4. Very High</v>
      </c>
      <c r="AL710" s="1" t="str">
        <f t="shared" si="72"/>
        <v>3. Better</v>
      </c>
    </row>
    <row r="711" spans="1:38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f t="shared" si="67"/>
        <v>1</v>
      </c>
      <c r="AH711" t="str">
        <f t="shared" si="68"/>
        <v>26-35</v>
      </c>
      <c r="AI711" t="str">
        <f t="shared" si="69"/>
        <v>1. Under 3K</v>
      </c>
      <c r="AJ711" s="1" t="str">
        <f t="shared" si="70"/>
        <v>2. 2-5 yrs</v>
      </c>
      <c r="AK711" s="1" t="str">
        <f t="shared" si="71"/>
        <v>1. Low</v>
      </c>
      <c r="AL711" s="1" t="str">
        <f t="shared" si="72"/>
        <v>3. Better</v>
      </c>
    </row>
    <row r="712" spans="1:38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f t="shared" si="67"/>
        <v>0</v>
      </c>
      <c r="AH712" t="str">
        <f t="shared" si="68"/>
        <v>26-35</v>
      </c>
      <c r="AI712" t="str">
        <f t="shared" si="69"/>
        <v>4. 10K+</v>
      </c>
      <c r="AJ712" s="1" t="str">
        <f t="shared" si="70"/>
        <v>3. 6-10 yrs</v>
      </c>
      <c r="AK712" s="1" t="str">
        <f t="shared" si="71"/>
        <v>3. High</v>
      </c>
      <c r="AL712" s="1" t="str">
        <f t="shared" si="72"/>
        <v>3. Better</v>
      </c>
    </row>
    <row r="713" spans="1:38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f t="shared" si="67"/>
        <v>1</v>
      </c>
      <c r="AH713" t="str">
        <f t="shared" si="68"/>
        <v>26-35</v>
      </c>
      <c r="AI713" t="str">
        <f t="shared" si="69"/>
        <v>1. Under 3K</v>
      </c>
      <c r="AJ713" s="1" t="str">
        <f t="shared" si="70"/>
        <v>1. 0-1 yrs</v>
      </c>
      <c r="AK713" s="1" t="str">
        <f t="shared" si="71"/>
        <v>1. Low</v>
      </c>
      <c r="AL713" s="1" t="str">
        <f t="shared" si="72"/>
        <v>3. Better</v>
      </c>
    </row>
    <row r="714" spans="1:38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f t="shared" si="67"/>
        <v>0</v>
      </c>
      <c r="AH714" t="str">
        <f t="shared" si="68"/>
        <v>26-35</v>
      </c>
      <c r="AI714" t="str">
        <f t="shared" si="69"/>
        <v>2. 3K-6K</v>
      </c>
      <c r="AJ714" s="1" t="str">
        <f t="shared" si="70"/>
        <v>2. 2-5 yrs</v>
      </c>
      <c r="AK714" s="1" t="str">
        <f t="shared" si="71"/>
        <v>4. Very High</v>
      </c>
      <c r="AL714" s="1" t="str">
        <f t="shared" si="72"/>
        <v>3. Better</v>
      </c>
    </row>
    <row r="715" spans="1:38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f t="shared" si="67"/>
        <v>0</v>
      </c>
      <c r="AH715" t="str">
        <f t="shared" si="68"/>
        <v>36-45</v>
      </c>
      <c r="AI715" t="str">
        <f t="shared" si="69"/>
        <v>1. Under 3K</v>
      </c>
      <c r="AJ715" s="1" t="str">
        <f t="shared" si="70"/>
        <v>2. 2-5 yrs</v>
      </c>
      <c r="AK715" s="1" t="str">
        <f t="shared" si="71"/>
        <v>4. Very High</v>
      </c>
      <c r="AL715" s="1" t="str">
        <f t="shared" si="72"/>
        <v>3. Better</v>
      </c>
    </row>
    <row r="716" spans="1:38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f t="shared" si="67"/>
        <v>0</v>
      </c>
      <c r="AH716" t="str">
        <f t="shared" si="68"/>
        <v>46-55</v>
      </c>
      <c r="AI716" t="str">
        <f t="shared" si="69"/>
        <v>4. 10K+</v>
      </c>
      <c r="AJ716" s="1" t="str">
        <f t="shared" si="70"/>
        <v>2. 2-5 yrs</v>
      </c>
      <c r="AK716" s="1" t="str">
        <f t="shared" si="71"/>
        <v>4. Very High</v>
      </c>
      <c r="AL716" s="1" t="str">
        <f t="shared" si="72"/>
        <v>2. Good</v>
      </c>
    </row>
    <row r="717" spans="1:38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f t="shared" si="67"/>
        <v>0</v>
      </c>
      <c r="AH717" t="str">
        <f t="shared" si="68"/>
        <v>26-35</v>
      </c>
      <c r="AI717" t="str">
        <f t="shared" si="69"/>
        <v>2. 3K-6K</v>
      </c>
      <c r="AJ717" s="1" t="str">
        <f t="shared" si="70"/>
        <v>3. 6-10 yrs</v>
      </c>
      <c r="AK717" s="1" t="str">
        <f t="shared" si="71"/>
        <v>2. Medium</v>
      </c>
      <c r="AL717" s="1" t="str">
        <f t="shared" si="72"/>
        <v>3. Better</v>
      </c>
    </row>
    <row r="718" spans="1:38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f t="shared" si="67"/>
        <v>0</v>
      </c>
      <c r="AH718" t="str">
        <f t="shared" si="68"/>
        <v>36-45</v>
      </c>
      <c r="AI718" t="str">
        <f t="shared" si="69"/>
        <v>4. 10K+</v>
      </c>
      <c r="AJ718" s="1" t="str">
        <f t="shared" si="70"/>
        <v>4. 10+ yrs</v>
      </c>
      <c r="AK718" s="1" t="str">
        <f t="shared" si="71"/>
        <v>3. High</v>
      </c>
      <c r="AL718" s="1" t="str">
        <f t="shared" si="72"/>
        <v>4. Best</v>
      </c>
    </row>
    <row r="719" spans="1:38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f t="shared" si="67"/>
        <v>0</v>
      </c>
      <c r="AH719" t="str">
        <f t="shared" si="68"/>
        <v>26-35</v>
      </c>
      <c r="AI719" t="str">
        <f t="shared" si="69"/>
        <v>1. Under 3K</v>
      </c>
      <c r="AJ719" s="1" t="str">
        <f t="shared" si="70"/>
        <v>2. 2-5 yrs</v>
      </c>
      <c r="AK719" s="1" t="str">
        <f t="shared" si="71"/>
        <v>2. Medium</v>
      </c>
      <c r="AL719" s="1" t="str">
        <f t="shared" si="72"/>
        <v>3. Better</v>
      </c>
    </row>
    <row r="720" spans="1:38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f t="shared" si="67"/>
        <v>0</v>
      </c>
      <c r="AH720" t="str">
        <f t="shared" si="68"/>
        <v>36-45</v>
      </c>
      <c r="AI720" t="str">
        <f t="shared" si="69"/>
        <v>2. 3K-6K</v>
      </c>
      <c r="AJ720" s="1" t="str">
        <f t="shared" si="70"/>
        <v>3. 6-10 yrs</v>
      </c>
      <c r="AK720" s="1" t="str">
        <f t="shared" si="71"/>
        <v>1. Low</v>
      </c>
      <c r="AL720" s="1" t="str">
        <f t="shared" si="72"/>
        <v>3. Better</v>
      </c>
    </row>
    <row r="721" spans="1:38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f t="shared" si="67"/>
        <v>0</v>
      </c>
      <c r="AH721" t="str">
        <f t="shared" si="68"/>
        <v>46-55</v>
      </c>
      <c r="AI721" t="str">
        <f t="shared" si="69"/>
        <v>2. 3K-6K</v>
      </c>
      <c r="AJ721" s="1" t="str">
        <f t="shared" si="70"/>
        <v>3. 6-10 yrs</v>
      </c>
      <c r="AK721" s="1" t="str">
        <f t="shared" si="71"/>
        <v>4. Very High</v>
      </c>
      <c r="AL721" s="1" t="str">
        <f t="shared" si="72"/>
        <v>3. Better</v>
      </c>
    </row>
    <row r="722" spans="1:38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f t="shared" si="67"/>
        <v>1</v>
      </c>
      <c r="AH722" t="str">
        <f t="shared" si="68"/>
        <v>26-35</v>
      </c>
      <c r="AI722" t="str">
        <f t="shared" si="69"/>
        <v>1. Under 3K</v>
      </c>
      <c r="AJ722" s="1" t="str">
        <f t="shared" si="70"/>
        <v>2. 2-5 yrs</v>
      </c>
      <c r="AK722" s="1" t="str">
        <f t="shared" si="71"/>
        <v>3. High</v>
      </c>
      <c r="AL722" s="1" t="str">
        <f t="shared" si="72"/>
        <v>3. Better</v>
      </c>
    </row>
    <row r="723" spans="1:38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f t="shared" si="67"/>
        <v>0</v>
      </c>
      <c r="AH723" t="str">
        <f t="shared" si="68"/>
        <v>46-55</v>
      </c>
      <c r="AI723" t="str">
        <f t="shared" si="69"/>
        <v>4. 10K+</v>
      </c>
      <c r="AJ723" s="1" t="str">
        <f t="shared" si="70"/>
        <v>4. 10+ yrs</v>
      </c>
      <c r="AK723" s="1" t="str">
        <f t="shared" si="71"/>
        <v>3. High</v>
      </c>
      <c r="AL723" s="1" t="str">
        <f t="shared" si="72"/>
        <v>3. Better</v>
      </c>
    </row>
    <row r="724" spans="1:38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f t="shared" si="67"/>
        <v>0</v>
      </c>
      <c r="AH724" t="str">
        <f t="shared" si="68"/>
        <v>36-45</v>
      </c>
      <c r="AI724" t="str">
        <f t="shared" si="69"/>
        <v>1. Under 3K</v>
      </c>
      <c r="AJ724" s="1" t="str">
        <f t="shared" si="70"/>
        <v>2. 2-5 yrs</v>
      </c>
      <c r="AK724" s="1" t="str">
        <f t="shared" si="71"/>
        <v>3. High</v>
      </c>
      <c r="AL724" s="1" t="str">
        <f t="shared" si="72"/>
        <v>2. Good</v>
      </c>
    </row>
    <row r="725" spans="1:38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f t="shared" si="67"/>
        <v>0</v>
      </c>
      <c r="AH725" t="str">
        <f t="shared" si="68"/>
        <v>46-55</v>
      </c>
      <c r="AI725" t="str">
        <f t="shared" si="69"/>
        <v>4. 10K+</v>
      </c>
      <c r="AJ725" s="1" t="str">
        <f t="shared" si="70"/>
        <v>3. 6-10 yrs</v>
      </c>
      <c r="AK725" s="1" t="str">
        <f t="shared" si="71"/>
        <v>3. High</v>
      </c>
      <c r="AL725" s="1" t="str">
        <f t="shared" si="72"/>
        <v>3. Better</v>
      </c>
    </row>
    <row r="726" spans="1:38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f t="shared" si="67"/>
        <v>0</v>
      </c>
      <c r="AH726" t="str">
        <f t="shared" si="68"/>
        <v>18-25</v>
      </c>
      <c r="AI726" t="str">
        <f t="shared" si="69"/>
        <v>2. 3K-6K</v>
      </c>
      <c r="AJ726" s="1" t="str">
        <f t="shared" si="70"/>
        <v>2. 2-5 yrs</v>
      </c>
      <c r="AK726" s="1" t="str">
        <f t="shared" si="71"/>
        <v>3. High</v>
      </c>
      <c r="AL726" s="1" t="str">
        <f t="shared" si="72"/>
        <v>3. Better</v>
      </c>
    </row>
    <row r="727" spans="1:38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f t="shared" si="67"/>
        <v>1</v>
      </c>
      <c r="AH727" t="str">
        <f t="shared" si="68"/>
        <v>26-35</v>
      </c>
      <c r="AI727" t="str">
        <f t="shared" si="69"/>
        <v>2. 3K-6K</v>
      </c>
      <c r="AJ727" s="1" t="str">
        <f t="shared" si="70"/>
        <v>2. 2-5 yrs</v>
      </c>
      <c r="AK727" s="1" t="str">
        <f t="shared" si="71"/>
        <v>2. Medium</v>
      </c>
      <c r="AL727" s="1" t="str">
        <f t="shared" si="72"/>
        <v>1. Bad</v>
      </c>
    </row>
    <row r="728" spans="1:38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f t="shared" si="67"/>
        <v>0</v>
      </c>
      <c r="AH728" t="str">
        <f t="shared" si="68"/>
        <v>26-35</v>
      </c>
      <c r="AI728" t="str">
        <f t="shared" si="69"/>
        <v>2. 3K-6K</v>
      </c>
      <c r="AJ728" s="1" t="str">
        <f t="shared" si="70"/>
        <v>2. 2-5 yrs</v>
      </c>
      <c r="AK728" s="1" t="str">
        <f t="shared" si="71"/>
        <v>1. Low</v>
      </c>
      <c r="AL728" s="1" t="str">
        <f t="shared" si="72"/>
        <v>3. Better</v>
      </c>
    </row>
    <row r="729" spans="1:38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f t="shared" si="67"/>
        <v>0</v>
      </c>
      <c r="AH729" t="str">
        <f t="shared" si="68"/>
        <v>18-25</v>
      </c>
      <c r="AI729" t="str">
        <f t="shared" si="69"/>
        <v>1. Under 3K</v>
      </c>
      <c r="AJ729" s="1" t="str">
        <f t="shared" si="70"/>
        <v>1. 0-1 yrs</v>
      </c>
      <c r="AK729" s="1" t="str">
        <f t="shared" si="71"/>
        <v>4. Very High</v>
      </c>
      <c r="AL729" s="1" t="str">
        <f t="shared" si="72"/>
        <v>3. Better</v>
      </c>
    </row>
    <row r="730" spans="1:38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f t="shared" si="67"/>
        <v>0</v>
      </c>
      <c r="AH730" t="str">
        <f t="shared" si="68"/>
        <v>46-55</v>
      </c>
      <c r="AI730" t="str">
        <f t="shared" si="69"/>
        <v>4. 10K+</v>
      </c>
      <c r="AJ730" s="1" t="str">
        <f t="shared" si="70"/>
        <v>3. 6-10 yrs</v>
      </c>
      <c r="AK730" s="1" t="str">
        <f t="shared" si="71"/>
        <v>3. High</v>
      </c>
      <c r="AL730" s="1" t="str">
        <f t="shared" si="72"/>
        <v>3. Better</v>
      </c>
    </row>
    <row r="731" spans="1:38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f t="shared" si="67"/>
        <v>0</v>
      </c>
      <c r="AH731" t="str">
        <f t="shared" si="68"/>
        <v>26-35</v>
      </c>
      <c r="AI731" t="str">
        <f t="shared" si="69"/>
        <v>4. 10K+</v>
      </c>
      <c r="AJ731" s="1" t="str">
        <f t="shared" si="70"/>
        <v>4. 10+ yrs</v>
      </c>
      <c r="AK731" s="1" t="str">
        <f t="shared" si="71"/>
        <v>3. High</v>
      </c>
      <c r="AL731" s="1" t="str">
        <f t="shared" si="72"/>
        <v>2. Good</v>
      </c>
    </row>
    <row r="732" spans="1:38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f t="shared" si="67"/>
        <v>0</v>
      </c>
      <c r="AH732" t="str">
        <f t="shared" si="68"/>
        <v>26-35</v>
      </c>
      <c r="AI732" t="str">
        <f t="shared" si="69"/>
        <v>4. 10K+</v>
      </c>
      <c r="AJ732" s="1" t="str">
        <f t="shared" si="70"/>
        <v>3. 6-10 yrs</v>
      </c>
      <c r="AK732" s="1" t="str">
        <f t="shared" si="71"/>
        <v>1. Low</v>
      </c>
      <c r="AL732" s="1" t="str">
        <f t="shared" si="72"/>
        <v>2. Good</v>
      </c>
    </row>
    <row r="733" spans="1:38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f t="shared" si="67"/>
        <v>1</v>
      </c>
      <c r="AH733" t="str">
        <f t="shared" si="68"/>
        <v>18-25</v>
      </c>
      <c r="AI733" t="str">
        <f t="shared" si="69"/>
        <v>1. Under 3K</v>
      </c>
      <c r="AJ733" s="1" t="str">
        <f t="shared" si="70"/>
        <v>1. 0-1 yrs</v>
      </c>
      <c r="AK733" s="1" t="str">
        <f t="shared" si="71"/>
        <v>1. Low</v>
      </c>
      <c r="AL733" s="1" t="str">
        <f t="shared" si="72"/>
        <v>3. Better</v>
      </c>
    </row>
    <row r="734" spans="1:38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f t="shared" si="67"/>
        <v>1</v>
      </c>
      <c r="AH734" t="str">
        <f t="shared" si="68"/>
        <v>26-35</v>
      </c>
      <c r="AI734" t="str">
        <f t="shared" si="69"/>
        <v>1. Under 3K</v>
      </c>
      <c r="AJ734" s="1" t="str">
        <f t="shared" si="70"/>
        <v>2. 2-5 yrs</v>
      </c>
      <c r="AK734" s="1" t="str">
        <f t="shared" si="71"/>
        <v>2. Medium</v>
      </c>
      <c r="AL734" s="1" t="str">
        <f t="shared" si="72"/>
        <v>3. Better</v>
      </c>
    </row>
    <row r="735" spans="1:38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f t="shared" si="67"/>
        <v>0</v>
      </c>
      <c r="AH735" t="str">
        <f t="shared" si="68"/>
        <v>26-35</v>
      </c>
      <c r="AI735" t="str">
        <f t="shared" si="69"/>
        <v>2. 3K-6K</v>
      </c>
      <c r="AJ735" s="1" t="str">
        <f t="shared" si="70"/>
        <v>3. 6-10 yrs</v>
      </c>
      <c r="AK735" s="1" t="str">
        <f t="shared" si="71"/>
        <v>4. Very High</v>
      </c>
      <c r="AL735" s="1" t="str">
        <f t="shared" si="72"/>
        <v>3. Better</v>
      </c>
    </row>
    <row r="736" spans="1:38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f t="shared" si="67"/>
        <v>0</v>
      </c>
      <c r="AH736" t="str">
        <f t="shared" si="68"/>
        <v>18-25</v>
      </c>
      <c r="AI736" t="str">
        <f t="shared" si="69"/>
        <v>1. Under 3K</v>
      </c>
      <c r="AJ736" s="1" t="str">
        <f t="shared" si="70"/>
        <v>2. 2-5 yrs</v>
      </c>
      <c r="AK736" s="1" t="str">
        <f t="shared" si="71"/>
        <v>1. Low</v>
      </c>
      <c r="AL736" s="1" t="str">
        <f t="shared" si="72"/>
        <v>2. Good</v>
      </c>
    </row>
    <row r="737" spans="1:38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f t="shared" si="67"/>
        <v>0</v>
      </c>
      <c r="AH737" t="str">
        <f t="shared" si="68"/>
        <v>46-55</v>
      </c>
      <c r="AI737" t="str">
        <f t="shared" si="69"/>
        <v>2. 3K-6K</v>
      </c>
      <c r="AJ737" s="1" t="str">
        <f t="shared" si="70"/>
        <v>2. 2-5 yrs</v>
      </c>
      <c r="AK737" s="1" t="str">
        <f t="shared" si="71"/>
        <v>3. High</v>
      </c>
      <c r="AL737" s="1" t="str">
        <f t="shared" si="72"/>
        <v>3. Better</v>
      </c>
    </row>
    <row r="738" spans="1:38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f t="shared" si="67"/>
        <v>0</v>
      </c>
      <c r="AH738" t="str">
        <f t="shared" si="68"/>
        <v>46-55</v>
      </c>
      <c r="AI738" t="str">
        <f t="shared" si="69"/>
        <v>4. 10K+</v>
      </c>
      <c r="AJ738" s="1" t="str">
        <f t="shared" si="70"/>
        <v>4. 10+ yrs</v>
      </c>
      <c r="AK738" s="1" t="str">
        <f t="shared" si="71"/>
        <v>3. High</v>
      </c>
      <c r="AL738" s="1" t="str">
        <f t="shared" si="72"/>
        <v>3. Better</v>
      </c>
    </row>
    <row r="739" spans="1:38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f t="shared" si="67"/>
        <v>0</v>
      </c>
      <c r="AH739" t="str">
        <f t="shared" si="68"/>
        <v>36-45</v>
      </c>
      <c r="AI739" t="str">
        <f t="shared" si="69"/>
        <v>2. 3K-6K</v>
      </c>
      <c r="AJ739" s="1" t="str">
        <f t="shared" si="70"/>
        <v>2. 2-5 yrs</v>
      </c>
      <c r="AK739" s="1" t="str">
        <f t="shared" si="71"/>
        <v>3. High</v>
      </c>
      <c r="AL739" s="1" t="str">
        <f t="shared" si="72"/>
        <v>3. Better</v>
      </c>
    </row>
    <row r="740" spans="1:38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f t="shared" si="67"/>
        <v>0</v>
      </c>
      <c r="AH740" t="str">
        <f t="shared" si="68"/>
        <v>36-45</v>
      </c>
      <c r="AI740" t="str">
        <f t="shared" si="69"/>
        <v>4. 10K+</v>
      </c>
      <c r="AJ740" s="1" t="str">
        <f t="shared" si="70"/>
        <v>4. 10+ yrs</v>
      </c>
      <c r="AK740" s="1" t="str">
        <f t="shared" si="71"/>
        <v>4. Very High</v>
      </c>
      <c r="AL740" s="1" t="str">
        <f t="shared" si="72"/>
        <v>3. Better</v>
      </c>
    </row>
    <row r="741" spans="1:38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f t="shared" si="67"/>
        <v>0</v>
      </c>
      <c r="AH741" t="str">
        <f t="shared" si="68"/>
        <v>26-35</v>
      </c>
      <c r="AI741" t="str">
        <f t="shared" si="69"/>
        <v>2. 3K-6K</v>
      </c>
      <c r="AJ741" s="1" t="str">
        <f t="shared" si="70"/>
        <v>2. 2-5 yrs</v>
      </c>
      <c r="AK741" s="1" t="str">
        <f t="shared" si="71"/>
        <v>4. Very High</v>
      </c>
      <c r="AL741" s="1" t="str">
        <f t="shared" si="72"/>
        <v>3. Better</v>
      </c>
    </row>
    <row r="742" spans="1:38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f t="shared" si="67"/>
        <v>0</v>
      </c>
      <c r="AH742" t="str">
        <f t="shared" si="68"/>
        <v>26-35</v>
      </c>
      <c r="AI742" t="str">
        <f t="shared" si="69"/>
        <v>2. 3K-6K</v>
      </c>
      <c r="AJ742" s="1" t="str">
        <f t="shared" si="70"/>
        <v>2. 2-5 yrs</v>
      </c>
      <c r="AK742" s="1" t="str">
        <f t="shared" si="71"/>
        <v>4. Very High</v>
      </c>
      <c r="AL742" s="1" t="str">
        <f t="shared" si="72"/>
        <v>2. Good</v>
      </c>
    </row>
    <row r="743" spans="1:38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f t="shared" si="67"/>
        <v>0</v>
      </c>
      <c r="AH743" t="str">
        <f t="shared" si="68"/>
        <v>36-45</v>
      </c>
      <c r="AI743" t="str">
        <f t="shared" si="69"/>
        <v>4. 10K+</v>
      </c>
      <c r="AJ743" s="1" t="str">
        <f t="shared" si="70"/>
        <v>1. 0-1 yrs</v>
      </c>
      <c r="AK743" s="1" t="str">
        <f t="shared" si="71"/>
        <v>3. High</v>
      </c>
      <c r="AL743" s="1" t="str">
        <f t="shared" si="72"/>
        <v>4. Best</v>
      </c>
    </row>
    <row r="744" spans="1:38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f t="shared" si="67"/>
        <v>0</v>
      </c>
      <c r="AH744" t="str">
        <f t="shared" si="68"/>
        <v>46-55</v>
      </c>
      <c r="AI744" t="str">
        <f t="shared" si="69"/>
        <v>1. Under 3K</v>
      </c>
      <c r="AJ744" s="1" t="str">
        <f t="shared" si="70"/>
        <v>1. 0-1 yrs</v>
      </c>
      <c r="AK744" s="1" t="str">
        <f t="shared" si="71"/>
        <v>4. Very High</v>
      </c>
      <c r="AL744" s="1" t="str">
        <f t="shared" si="72"/>
        <v>3. Better</v>
      </c>
    </row>
    <row r="745" spans="1:38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f t="shared" si="67"/>
        <v>0</v>
      </c>
      <c r="AH745" t="str">
        <f t="shared" si="68"/>
        <v>56+</v>
      </c>
      <c r="AI745" t="str">
        <f t="shared" si="69"/>
        <v>4. 10K+</v>
      </c>
      <c r="AJ745" s="1" t="str">
        <f t="shared" si="70"/>
        <v>2. 2-5 yrs</v>
      </c>
      <c r="AK745" s="1" t="str">
        <f t="shared" si="71"/>
        <v>4. Very High</v>
      </c>
      <c r="AL745" s="1" t="str">
        <f t="shared" si="72"/>
        <v>3. Better</v>
      </c>
    </row>
    <row r="746" spans="1:38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f t="shared" si="67"/>
        <v>1</v>
      </c>
      <c r="AH746" t="str">
        <f t="shared" si="68"/>
        <v>36-45</v>
      </c>
      <c r="AI746" t="str">
        <f t="shared" si="69"/>
        <v>2. 3K-6K</v>
      </c>
      <c r="AJ746" s="1" t="str">
        <f t="shared" si="70"/>
        <v>1. 0-1 yrs</v>
      </c>
      <c r="AK746" s="1" t="str">
        <f t="shared" si="71"/>
        <v>2. Medium</v>
      </c>
      <c r="AL746" s="1" t="str">
        <f t="shared" si="72"/>
        <v>1. Bad</v>
      </c>
    </row>
    <row r="747" spans="1:38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f t="shared" si="67"/>
        <v>0</v>
      </c>
      <c r="AH747" t="str">
        <f t="shared" si="68"/>
        <v>46-55</v>
      </c>
      <c r="AI747" t="str">
        <f t="shared" si="69"/>
        <v>3. 6K-10K</v>
      </c>
      <c r="AJ747" s="1" t="str">
        <f t="shared" si="70"/>
        <v>3. 6-10 yrs</v>
      </c>
      <c r="AK747" s="1" t="str">
        <f t="shared" si="71"/>
        <v>2. Medium</v>
      </c>
      <c r="AL747" s="1" t="str">
        <f t="shared" si="72"/>
        <v>3. Better</v>
      </c>
    </row>
    <row r="748" spans="1:38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f t="shared" si="67"/>
        <v>0</v>
      </c>
      <c r="AH748" t="str">
        <f t="shared" si="68"/>
        <v>36-45</v>
      </c>
      <c r="AI748" t="str">
        <f t="shared" si="69"/>
        <v>4. 10K+</v>
      </c>
      <c r="AJ748" s="1" t="str">
        <f t="shared" si="70"/>
        <v>4. 10+ yrs</v>
      </c>
      <c r="AK748" s="1" t="str">
        <f t="shared" si="71"/>
        <v>3. High</v>
      </c>
      <c r="AL748" s="1" t="str">
        <f t="shared" si="72"/>
        <v>3. Better</v>
      </c>
    </row>
    <row r="749" spans="1:38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f t="shared" si="67"/>
        <v>0</v>
      </c>
      <c r="AH749" t="str">
        <f t="shared" si="68"/>
        <v>36-45</v>
      </c>
      <c r="AI749" t="str">
        <f t="shared" si="69"/>
        <v>3. 6K-10K</v>
      </c>
      <c r="AJ749" s="1" t="str">
        <f t="shared" si="70"/>
        <v>1. 0-1 yrs</v>
      </c>
      <c r="AK749" s="1" t="str">
        <f t="shared" si="71"/>
        <v>4. Very High</v>
      </c>
      <c r="AL749" s="1" t="str">
        <f t="shared" si="72"/>
        <v>3. Better</v>
      </c>
    </row>
    <row r="750" spans="1:38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f t="shared" si="67"/>
        <v>1</v>
      </c>
      <c r="AH750" t="str">
        <f t="shared" si="68"/>
        <v>26-35</v>
      </c>
      <c r="AI750" t="str">
        <f t="shared" si="69"/>
        <v>2. 3K-6K</v>
      </c>
      <c r="AJ750" s="1" t="str">
        <f t="shared" si="70"/>
        <v>2. 2-5 yrs</v>
      </c>
      <c r="AK750" s="1" t="str">
        <f t="shared" si="71"/>
        <v>1. Low</v>
      </c>
      <c r="AL750" s="1" t="str">
        <f t="shared" si="72"/>
        <v>3. Better</v>
      </c>
    </row>
    <row r="751" spans="1:38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f t="shared" si="67"/>
        <v>1</v>
      </c>
      <c r="AH751" t="str">
        <f t="shared" si="68"/>
        <v>46-55</v>
      </c>
      <c r="AI751" t="str">
        <f t="shared" si="69"/>
        <v>4. 10K+</v>
      </c>
      <c r="AJ751" s="1" t="str">
        <f t="shared" si="70"/>
        <v>4. 10+ yrs</v>
      </c>
      <c r="AK751" s="1" t="str">
        <f t="shared" si="71"/>
        <v>4. Very High</v>
      </c>
      <c r="AL751" s="1" t="str">
        <f t="shared" si="72"/>
        <v>3. Better</v>
      </c>
    </row>
    <row r="752" spans="1:38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f t="shared" si="67"/>
        <v>0</v>
      </c>
      <c r="AH752" t="str">
        <f t="shared" si="68"/>
        <v>36-45</v>
      </c>
      <c r="AI752" t="str">
        <f t="shared" si="69"/>
        <v>4. 10K+</v>
      </c>
      <c r="AJ752" s="1" t="str">
        <f t="shared" si="70"/>
        <v>4. 10+ yrs</v>
      </c>
      <c r="AK752" s="1" t="str">
        <f t="shared" si="71"/>
        <v>4. Very High</v>
      </c>
      <c r="AL752" s="1" t="str">
        <f t="shared" si="72"/>
        <v>3. Better</v>
      </c>
    </row>
    <row r="753" spans="1:38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f t="shared" si="67"/>
        <v>0</v>
      </c>
      <c r="AH753" t="str">
        <f t="shared" si="68"/>
        <v>46-55</v>
      </c>
      <c r="AI753" t="str">
        <f t="shared" si="69"/>
        <v>3. 6K-10K</v>
      </c>
      <c r="AJ753" s="1" t="str">
        <f t="shared" si="70"/>
        <v>4. 10+ yrs</v>
      </c>
      <c r="AK753" s="1" t="str">
        <f t="shared" si="71"/>
        <v>3. High</v>
      </c>
      <c r="AL753" s="1" t="str">
        <f t="shared" si="72"/>
        <v>3. Better</v>
      </c>
    </row>
    <row r="754" spans="1:38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f t="shared" si="67"/>
        <v>1</v>
      </c>
      <c r="AH754" t="str">
        <f t="shared" si="68"/>
        <v>36-45</v>
      </c>
      <c r="AI754" t="str">
        <f t="shared" si="69"/>
        <v>1. Under 3K</v>
      </c>
      <c r="AJ754" s="1" t="str">
        <f t="shared" si="70"/>
        <v>4. 10+ yrs</v>
      </c>
      <c r="AK754" s="1" t="str">
        <f t="shared" si="71"/>
        <v>1. Low</v>
      </c>
      <c r="AL754" s="1" t="str">
        <f t="shared" si="72"/>
        <v>3. Better</v>
      </c>
    </row>
    <row r="755" spans="1:38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f t="shared" si="67"/>
        <v>0</v>
      </c>
      <c r="AH755" t="str">
        <f t="shared" si="68"/>
        <v>36-45</v>
      </c>
      <c r="AI755" t="str">
        <f t="shared" si="69"/>
        <v>4. 10K+</v>
      </c>
      <c r="AJ755" s="1" t="str">
        <f t="shared" si="70"/>
        <v>4. 10+ yrs</v>
      </c>
      <c r="AK755" s="1" t="str">
        <f t="shared" si="71"/>
        <v>1. Low</v>
      </c>
      <c r="AL755" s="1" t="str">
        <f t="shared" si="72"/>
        <v>3. Better</v>
      </c>
    </row>
    <row r="756" spans="1:38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f t="shared" si="67"/>
        <v>0</v>
      </c>
      <c r="AH756" t="str">
        <f t="shared" si="68"/>
        <v>26-35</v>
      </c>
      <c r="AI756" t="str">
        <f t="shared" si="69"/>
        <v>1. Under 3K</v>
      </c>
      <c r="AJ756" s="1" t="str">
        <f t="shared" si="70"/>
        <v>2. 2-5 yrs</v>
      </c>
      <c r="AK756" s="1" t="str">
        <f t="shared" si="71"/>
        <v>4. Very High</v>
      </c>
      <c r="AL756" s="1" t="str">
        <f t="shared" si="72"/>
        <v>2. Good</v>
      </c>
    </row>
    <row r="757" spans="1:38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f t="shared" si="67"/>
        <v>0</v>
      </c>
      <c r="AH757" t="str">
        <f t="shared" si="68"/>
        <v>36-45</v>
      </c>
      <c r="AI757" t="str">
        <f t="shared" si="69"/>
        <v>4. 10K+</v>
      </c>
      <c r="AJ757" s="1" t="str">
        <f t="shared" si="70"/>
        <v>3. 6-10 yrs</v>
      </c>
      <c r="AK757" s="1" t="str">
        <f t="shared" si="71"/>
        <v>4. Very High</v>
      </c>
      <c r="AL757" s="1" t="str">
        <f t="shared" si="72"/>
        <v>4. Best</v>
      </c>
    </row>
    <row r="758" spans="1:38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f t="shared" si="67"/>
        <v>0</v>
      </c>
      <c r="AH758" t="str">
        <f t="shared" si="68"/>
        <v>26-35</v>
      </c>
      <c r="AI758" t="str">
        <f t="shared" si="69"/>
        <v>2. 3K-6K</v>
      </c>
      <c r="AJ758" s="1" t="str">
        <f t="shared" si="70"/>
        <v>3. 6-10 yrs</v>
      </c>
      <c r="AK758" s="1" t="str">
        <f t="shared" si="71"/>
        <v>3. High</v>
      </c>
      <c r="AL758" s="1" t="str">
        <f t="shared" si="72"/>
        <v>3. Better</v>
      </c>
    </row>
    <row r="759" spans="1:38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f t="shared" si="67"/>
        <v>0</v>
      </c>
      <c r="AH759" t="str">
        <f t="shared" si="68"/>
        <v>26-35</v>
      </c>
      <c r="AI759" t="str">
        <f t="shared" si="69"/>
        <v>3. 6K-10K</v>
      </c>
      <c r="AJ759" s="1" t="str">
        <f t="shared" si="70"/>
        <v>4. 10+ yrs</v>
      </c>
      <c r="AK759" s="1" t="str">
        <f t="shared" si="71"/>
        <v>4. Very High</v>
      </c>
      <c r="AL759" s="1" t="str">
        <f t="shared" si="72"/>
        <v>2. Good</v>
      </c>
    </row>
    <row r="760" spans="1:38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f t="shared" si="67"/>
        <v>0</v>
      </c>
      <c r="AH760" t="str">
        <f t="shared" si="68"/>
        <v>56+</v>
      </c>
      <c r="AI760" t="str">
        <f t="shared" si="69"/>
        <v>4. 10K+</v>
      </c>
      <c r="AJ760" s="1" t="str">
        <f t="shared" si="70"/>
        <v>3. 6-10 yrs</v>
      </c>
      <c r="AK760" s="1" t="str">
        <f t="shared" si="71"/>
        <v>4. Very High</v>
      </c>
      <c r="AL760" s="1" t="str">
        <f t="shared" si="72"/>
        <v>1. Bad</v>
      </c>
    </row>
    <row r="761" spans="1:38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f t="shared" si="67"/>
        <v>0</v>
      </c>
      <c r="AH761" t="str">
        <f t="shared" si="68"/>
        <v>36-45</v>
      </c>
      <c r="AI761" t="str">
        <f t="shared" si="69"/>
        <v>1. Under 3K</v>
      </c>
      <c r="AJ761" s="1" t="str">
        <f t="shared" si="70"/>
        <v>3. 6-10 yrs</v>
      </c>
      <c r="AK761" s="1" t="str">
        <f t="shared" si="71"/>
        <v>2. Medium</v>
      </c>
      <c r="AL761" s="1" t="str">
        <f t="shared" si="72"/>
        <v>3. Better</v>
      </c>
    </row>
    <row r="762" spans="1:38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f t="shared" si="67"/>
        <v>0</v>
      </c>
      <c r="AH762" t="str">
        <f t="shared" si="68"/>
        <v>46-55</v>
      </c>
      <c r="AI762" t="str">
        <f t="shared" si="69"/>
        <v>3. 6K-10K</v>
      </c>
      <c r="AJ762" s="1" t="str">
        <f t="shared" si="70"/>
        <v>4. 10+ yrs</v>
      </c>
      <c r="AK762" s="1" t="str">
        <f t="shared" si="71"/>
        <v>2. Medium</v>
      </c>
      <c r="AL762" s="1" t="str">
        <f t="shared" si="72"/>
        <v>3. Better</v>
      </c>
    </row>
    <row r="763" spans="1:38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f t="shared" si="67"/>
        <v>1</v>
      </c>
      <c r="AH763" t="str">
        <f t="shared" si="68"/>
        <v>36-45</v>
      </c>
      <c r="AI763" t="str">
        <f t="shared" si="69"/>
        <v>2. 3K-6K</v>
      </c>
      <c r="AJ763" s="1" t="str">
        <f t="shared" si="70"/>
        <v>1. 0-1 yrs</v>
      </c>
      <c r="AK763" s="1" t="str">
        <f t="shared" si="71"/>
        <v>3. High</v>
      </c>
      <c r="AL763" s="1" t="str">
        <f t="shared" si="72"/>
        <v>2. Good</v>
      </c>
    </row>
    <row r="764" spans="1:38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f t="shared" si="67"/>
        <v>1</v>
      </c>
      <c r="AH764" t="str">
        <f t="shared" si="68"/>
        <v>26-35</v>
      </c>
      <c r="AI764" t="str">
        <f t="shared" si="69"/>
        <v>1. Under 3K</v>
      </c>
      <c r="AJ764" s="1" t="str">
        <f t="shared" si="70"/>
        <v>2. 2-5 yrs</v>
      </c>
      <c r="AK764" s="1" t="str">
        <f t="shared" si="71"/>
        <v>1. Low</v>
      </c>
      <c r="AL764" s="1" t="str">
        <f t="shared" si="72"/>
        <v>3. Better</v>
      </c>
    </row>
    <row r="765" spans="1:38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f t="shared" si="67"/>
        <v>0</v>
      </c>
      <c r="AH765" t="str">
        <f t="shared" si="68"/>
        <v>26-35</v>
      </c>
      <c r="AI765" t="str">
        <f t="shared" si="69"/>
        <v>1. Under 3K</v>
      </c>
      <c r="AJ765" s="1" t="str">
        <f t="shared" si="70"/>
        <v>1. 0-1 yrs</v>
      </c>
      <c r="AK765" s="1" t="str">
        <f t="shared" si="71"/>
        <v>3. High</v>
      </c>
      <c r="AL765" s="1" t="str">
        <f t="shared" si="72"/>
        <v>3. Better</v>
      </c>
    </row>
    <row r="766" spans="1:38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f t="shared" si="67"/>
        <v>0</v>
      </c>
      <c r="AH766" t="str">
        <f t="shared" si="68"/>
        <v>26-35</v>
      </c>
      <c r="AI766" t="str">
        <f t="shared" si="69"/>
        <v>1. Under 3K</v>
      </c>
      <c r="AJ766" s="1" t="str">
        <f t="shared" si="70"/>
        <v>1. 0-1 yrs</v>
      </c>
      <c r="AK766" s="1" t="str">
        <f t="shared" si="71"/>
        <v>2. Medium</v>
      </c>
      <c r="AL766" s="1" t="str">
        <f t="shared" si="72"/>
        <v>3. Better</v>
      </c>
    </row>
    <row r="767" spans="1:38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f t="shared" si="67"/>
        <v>0</v>
      </c>
      <c r="AH767" t="str">
        <f t="shared" si="68"/>
        <v>36-45</v>
      </c>
      <c r="AI767" t="str">
        <f t="shared" si="69"/>
        <v>1. Under 3K</v>
      </c>
      <c r="AJ767" s="1" t="str">
        <f t="shared" si="70"/>
        <v>2. 2-5 yrs</v>
      </c>
      <c r="AK767" s="1" t="str">
        <f t="shared" si="71"/>
        <v>3. High</v>
      </c>
      <c r="AL767" s="1" t="str">
        <f t="shared" si="72"/>
        <v>3. Better</v>
      </c>
    </row>
    <row r="768" spans="1:38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f t="shared" si="67"/>
        <v>0</v>
      </c>
      <c r="AH768" t="str">
        <f t="shared" si="68"/>
        <v>46-55</v>
      </c>
      <c r="AI768" t="str">
        <f t="shared" si="69"/>
        <v>4. 10K+</v>
      </c>
      <c r="AJ768" s="1" t="str">
        <f t="shared" si="70"/>
        <v>3. 6-10 yrs</v>
      </c>
      <c r="AK768" s="1" t="str">
        <f t="shared" si="71"/>
        <v>3. High</v>
      </c>
      <c r="AL768" s="1" t="str">
        <f t="shared" si="72"/>
        <v>2. Good</v>
      </c>
    </row>
    <row r="769" spans="1:38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f t="shared" si="67"/>
        <v>0</v>
      </c>
      <c r="AH769" t="str">
        <f t="shared" si="68"/>
        <v>36-45</v>
      </c>
      <c r="AI769" t="str">
        <f t="shared" si="69"/>
        <v>2. 3K-6K</v>
      </c>
      <c r="AJ769" s="1" t="str">
        <f t="shared" si="70"/>
        <v>2. 2-5 yrs</v>
      </c>
      <c r="AK769" s="1" t="str">
        <f t="shared" si="71"/>
        <v>2. Medium</v>
      </c>
      <c r="AL769" s="1" t="str">
        <f t="shared" si="72"/>
        <v>2. Good</v>
      </c>
    </row>
    <row r="770" spans="1:38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f t="shared" ref="AG770:AG833" si="73">IF(B770="Yes",1,0)</f>
        <v>0</v>
      </c>
      <c r="AH770" t="str">
        <f t="shared" ref="AH770:AH833" si="74">IF(A770&lt;26,"18-25",IF(A770&lt;36,"26-35",IF(A770&lt;46,"36-45",IF(A770&lt;56,"46-55","56+"))))</f>
        <v>36-45</v>
      </c>
      <c r="AI770" t="str">
        <f t="shared" ref="AI770:AI833" si="75">IF(R770&lt;3000,"1. Under 3K",IF(R770&lt;6000,"2. 3K-6K",IF(R770&lt;10000,"3. 6K-10K","4. 10K+")))</f>
        <v>3. 6K-10K</v>
      </c>
      <c r="AJ770" s="1" t="str">
        <f t="shared" ref="AJ770:AJ833" si="76">IF(AC770&lt;2,"1. 0-1 yrs",IF(AC770&lt;6,"2. 2-5 yrs",IF(AC770&lt;11,"3. 6-10 yrs","4. 10+ yrs")))</f>
        <v>3. 6-10 yrs</v>
      </c>
      <c r="AK770" s="1" t="str">
        <f t="shared" ref="AK770:AK833" si="77">CHOOSE(P770,"1. Low","2. Medium","3. High","4. Very High")</f>
        <v>1. Low</v>
      </c>
      <c r="AL770" s="1" t="str">
        <f t="shared" ref="AL770:AL833" si="78">CHOOSE(AB770,"1. Bad","2. Good","3. Better","4. Best")</f>
        <v>2. Good</v>
      </c>
    </row>
    <row r="771" spans="1:38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f t="shared" si="73"/>
        <v>0</v>
      </c>
      <c r="AH771" t="str">
        <f t="shared" si="74"/>
        <v>26-35</v>
      </c>
      <c r="AI771" t="str">
        <f t="shared" si="75"/>
        <v>1. Under 3K</v>
      </c>
      <c r="AJ771" s="1" t="str">
        <f t="shared" si="76"/>
        <v>2. 2-5 yrs</v>
      </c>
      <c r="AK771" s="1" t="str">
        <f t="shared" si="77"/>
        <v>3. High</v>
      </c>
      <c r="AL771" s="1" t="str">
        <f t="shared" si="78"/>
        <v>3. Better</v>
      </c>
    </row>
    <row r="772" spans="1:38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f t="shared" si="73"/>
        <v>0</v>
      </c>
      <c r="AH772" t="str">
        <f t="shared" si="74"/>
        <v>46-55</v>
      </c>
      <c r="AI772" t="str">
        <f t="shared" si="75"/>
        <v>4. 10K+</v>
      </c>
      <c r="AJ772" s="1" t="str">
        <f t="shared" si="76"/>
        <v>2. 2-5 yrs</v>
      </c>
      <c r="AK772" s="1" t="str">
        <f t="shared" si="77"/>
        <v>4. Very High</v>
      </c>
      <c r="AL772" s="1" t="str">
        <f t="shared" si="78"/>
        <v>3. Better</v>
      </c>
    </row>
    <row r="773" spans="1:38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f t="shared" si="73"/>
        <v>0</v>
      </c>
      <c r="AH773" t="str">
        <f t="shared" si="74"/>
        <v>46-55</v>
      </c>
      <c r="AI773" t="str">
        <f t="shared" si="75"/>
        <v>4. 10K+</v>
      </c>
      <c r="AJ773" s="1" t="str">
        <f t="shared" si="76"/>
        <v>3. 6-10 yrs</v>
      </c>
      <c r="AK773" s="1" t="str">
        <f t="shared" si="77"/>
        <v>3. High</v>
      </c>
      <c r="AL773" s="1" t="str">
        <f t="shared" si="78"/>
        <v>3. Better</v>
      </c>
    </row>
    <row r="774" spans="1:38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f t="shared" si="73"/>
        <v>0</v>
      </c>
      <c r="AH774" t="str">
        <f t="shared" si="74"/>
        <v>56+</v>
      </c>
      <c r="AI774" t="str">
        <f t="shared" si="75"/>
        <v>1. Under 3K</v>
      </c>
      <c r="AJ774" s="1" t="str">
        <f t="shared" si="76"/>
        <v>2. 2-5 yrs</v>
      </c>
      <c r="AK774" s="1" t="str">
        <f t="shared" si="77"/>
        <v>3. High</v>
      </c>
      <c r="AL774" s="1" t="str">
        <f t="shared" si="78"/>
        <v>3. Better</v>
      </c>
    </row>
    <row r="775" spans="1:38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f t="shared" si="73"/>
        <v>0</v>
      </c>
      <c r="AH775" t="str">
        <f t="shared" si="74"/>
        <v>36-45</v>
      </c>
      <c r="AI775" t="str">
        <f t="shared" si="75"/>
        <v>3. 6K-10K</v>
      </c>
      <c r="AJ775" s="1" t="str">
        <f t="shared" si="76"/>
        <v>4. 10+ yrs</v>
      </c>
      <c r="AK775" s="1" t="str">
        <f t="shared" si="77"/>
        <v>4. Very High</v>
      </c>
      <c r="AL775" s="1" t="str">
        <f t="shared" si="78"/>
        <v>2. Good</v>
      </c>
    </row>
    <row r="776" spans="1:38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f t="shared" si="73"/>
        <v>0</v>
      </c>
      <c r="AH776" t="str">
        <f t="shared" si="74"/>
        <v>46-55</v>
      </c>
      <c r="AI776" t="str">
        <f t="shared" si="75"/>
        <v>4. 10K+</v>
      </c>
      <c r="AJ776" s="1" t="str">
        <f t="shared" si="76"/>
        <v>3. 6-10 yrs</v>
      </c>
      <c r="AK776" s="1" t="str">
        <f t="shared" si="77"/>
        <v>1. Low</v>
      </c>
      <c r="AL776" s="1" t="str">
        <f t="shared" si="78"/>
        <v>4. Best</v>
      </c>
    </row>
    <row r="777" spans="1:38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f t="shared" si="73"/>
        <v>0</v>
      </c>
      <c r="AH777" t="str">
        <f t="shared" si="74"/>
        <v>36-45</v>
      </c>
      <c r="AI777" t="str">
        <f t="shared" si="75"/>
        <v>4. 10K+</v>
      </c>
      <c r="AJ777" s="1" t="str">
        <f t="shared" si="76"/>
        <v>1. 0-1 yrs</v>
      </c>
      <c r="AK777" s="1" t="str">
        <f t="shared" si="77"/>
        <v>4. Very High</v>
      </c>
      <c r="AL777" s="1" t="str">
        <f t="shared" si="78"/>
        <v>3. Better</v>
      </c>
    </row>
    <row r="778" spans="1:38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f t="shared" si="73"/>
        <v>1</v>
      </c>
      <c r="AH778" t="str">
        <f t="shared" si="74"/>
        <v>18-25</v>
      </c>
      <c r="AI778" t="str">
        <f t="shared" si="75"/>
        <v>1. Under 3K</v>
      </c>
      <c r="AJ778" s="1" t="str">
        <f t="shared" si="76"/>
        <v>2. 2-5 yrs</v>
      </c>
      <c r="AK778" s="1" t="str">
        <f t="shared" si="77"/>
        <v>4. Very High</v>
      </c>
      <c r="AL778" s="1" t="str">
        <f t="shared" si="78"/>
        <v>3. Better</v>
      </c>
    </row>
    <row r="779" spans="1:38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f t="shared" si="73"/>
        <v>1</v>
      </c>
      <c r="AH779" t="str">
        <f t="shared" si="74"/>
        <v>18-25</v>
      </c>
      <c r="AI779" t="str">
        <f t="shared" si="75"/>
        <v>1. Under 3K</v>
      </c>
      <c r="AJ779" s="1" t="str">
        <f t="shared" si="76"/>
        <v>1. 0-1 yrs</v>
      </c>
      <c r="AK779" s="1" t="str">
        <f t="shared" si="77"/>
        <v>1. Low</v>
      </c>
      <c r="AL779" s="1" t="str">
        <f t="shared" si="78"/>
        <v>2. Good</v>
      </c>
    </row>
    <row r="780" spans="1:38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f t="shared" si="73"/>
        <v>0</v>
      </c>
      <c r="AH780" t="str">
        <f t="shared" si="74"/>
        <v>46-55</v>
      </c>
      <c r="AI780" t="str">
        <f t="shared" si="75"/>
        <v>2. 3K-6K</v>
      </c>
      <c r="AJ780" s="1" t="str">
        <f t="shared" si="76"/>
        <v>4. 10+ yrs</v>
      </c>
      <c r="AK780" s="1" t="str">
        <f t="shared" si="77"/>
        <v>1. Low</v>
      </c>
      <c r="AL780" s="1" t="str">
        <f t="shared" si="78"/>
        <v>3. Better</v>
      </c>
    </row>
    <row r="781" spans="1:38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f t="shared" si="73"/>
        <v>1</v>
      </c>
      <c r="AH781" t="str">
        <f t="shared" si="74"/>
        <v>46-55</v>
      </c>
      <c r="AI781" t="str">
        <f t="shared" si="75"/>
        <v>1. Under 3K</v>
      </c>
      <c r="AJ781" s="1" t="str">
        <f t="shared" si="76"/>
        <v>3. 6-10 yrs</v>
      </c>
      <c r="AK781" s="1" t="str">
        <f t="shared" si="77"/>
        <v>3. High</v>
      </c>
      <c r="AL781" s="1" t="str">
        <f t="shared" si="78"/>
        <v>4. Best</v>
      </c>
    </row>
    <row r="782" spans="1:38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f t="shared" si="73"/>
        <v>1</v>
      </c>
      <c r="AH782" t="str">
        <f t="shared" si="74"/>
        <v>26-35</v>
      </c>
      <c r="AI782" t="str">
        <f t="shared" si="75"/>
        <v>3. 6K-10K</v>
      </c>
      <c r="AJ782" s="1" t="str">
        <f t="shared" si="76"/>
        <v>3. 6-10 yrs</v>
      </c>
      <c r="AK782" s="1" t="str">
        <f t="shared" si="77"/>
        <v>1. Low</v>
      </c>
      <c r="AL782" s="1" t="str">
        <f t="shared" si="78"/>
        <v>2. Good</v>
      </c>
    </row>
    <row r="783" spans="1:38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f t="shared" si="73"/>
        <v>0</v>
      </c>
      <c r="AH783" t="str">
        <f t="shared" si="74"/>
        <v>26-35</v>
      </c>
      <c r="AI783" t="str">
        <f t="shared" si="75"/>
        <v>2. 3K-6K</v>
      </c>
      <c r="AJ783" s="1" t="str">
        <f t="shared" si="76"/>
        <v>2. 2-5 yrs</v>
      </c>
      <c r="AK783" s="1" t="str">
        <f t="shared" si="77"/>
        <v>1. Low</v>
      </c>
      <c r="AL783" s="1" t="str">
        <f t="shared" si="78"/>
        <v>3. Better</v>
      </c>
    </row>
    <row r="784" spans="1:38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f t="shared" si="73"/>
        <v>0</v>
      </c>
      <c r="AH784" t="str">
        <f t="shared" si="74"/>
        <v>26-35</v>
      </c>
      <c r="AI784" t="str">
        <f t="shared" si="75"/>
        <v>3. 6K-10K</v>
      </c>
      <c r="AJ784" s="1" t="str">
        <f t="shared" si="76"/>
        <v>3. 6-10 yrs</v>
      </c>
      <c r="AK784" s="1" t="str">
        <f t="shared" si="77"/>
        <v>1. Low</v>
      </c>
      <c r="AL784" s="1" t="str">
        <f t="shared" si="78"/>
        <v>2. Good</v>
      </c>
    </row>
    <row r="785" spans="1:38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f t="shared" si="73"/>
        <v>0</v>
      </c>
      <c r="AH785" t="str">
        <f t="shared" si="74"/>
        <v>36-45</v>
      </c>
      <c r="AI785" t="str">
        <f t="shared" si="75"/>
        <v>2. 3K-6K</v>
      </c>
      <c r="AJ785" s="1" t="str">
        <f t="shared" si="76"/>
        <v>3. 6-10 yrs</v>
      </c>
      <c r="AK785" s="1" t="str">
        <f t="shared" si="77"/>
        <v>3. High</v>
      </c>
      <c r="AL785" s="1" t="str">
        <f t="shared" si="78"/>
        <v>3. Better</v>
      </c>
    </row>
    <row r="786" spans="1:38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f t="shared" si="73"/>
        <v>0</v>
      </c>
      <c r="AH786" t="str">
        <f t="shared" si="74"/>
        <v>36-45</v>
      </c>
      <c r="AI786" t="str">
        <f t="shared" si="75"/>
        <v>3. 6K-10K</v>
      </c>
      <c r="AJ786" s="1" t="str">
        <f t="shared" si="76"/>
        <v>4. 10+ yrs</v>
      </c>
      <c r="AK786" s="1" t="str">
        <f t="shared" si="77"/>
        <v>3. High</v>
      </c>
      <c r="AL786" s="1" t="str">
        <f t="shared" si="78"/>
        <v>2. Good</v>
      </c>
    </row>
    <row r="787" spans="1:38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f t="shared" si="73"/>
        <v>0</v>
      </c>
      <c r="AH787" t="str">
        <f t="shared" si="74"/>
        <v>36-45</v>
      </c>
      <c r="AI787" t="str">
        <f t="shared" si="75"/>
        <v>4. 10K+</v>
      </c>
      <c r="AJ787" s="1" t="str">
        <f t="shared" si="76"/>
        <v>4. 10+ yrs</v>
      </c>
      <c r="AK787" s="1" t="str">
        <f t="shared" si="77"/>
        <v>4. Very High</v>
      </c>
      <c r="AL787" s="1" t="str">
        <f t="shared" si="78"/>
        <v>3. Better</v>
      </c>
    </row>
    <row r="788" spans="1:38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f t="shared" si="73"/>
        <v>0</v>
      </c>
      <c r="AH788" t="str">
        <f t="shared" si="74"/>
        <v>26-35</v>
      </c>
      <c r="AI788" t="str">
        <f t="shared" si="75"/>
        <v>2. 3K-6K</v>
      </c>
      <c r="AJ788" s="1" t="str">
        <f t="shared" si="76"/>
        <v>2. 2-5 yrs</v>
      </c>
      <c r="AK788" s="1" t="str">
        <f t="shared" si="77"/>
        <v>3. High</v>
      </c>
      <c r="AL788" s="1" t="str">
        <f t="shared" si="78"/>
        <v>3. Better</v>
      </c>
    </row>
    <row r="789" spans="1:38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f t="shared" si="73"/>
        <v>0</v>
      </c>
      <c r="AH789" t="str">
        <f t="shared" si="74"/>
        <v>46-55</v>
      </c>
      <c r="AI789" t="str">
        <f t="shared" si="75"/>
        <v>4. 10K+</v>
      </c>
      <c r="AJ789" s="1" t="str">
        <f t="shared" si="76"/>
        <v>2. 2-5 yrs</v>
      </c>
      <c r="AK789" s="1" t="str">
        <f t="shared" si="77"/>
        <v>2. Medium</v>
      </c>
      <c r="AL789" s="1" t="str">
        <f t="shared" si="78"/>
        <v>3. Better</v>
      </c>
    </row>
    <row r="790" spans="1:38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f t="shared" si="73"/>
        <v>0</v>
      </c>
      <c r="AH790" t="str">
        <f t="shared" si="74"/>
        <v>26-35</v>
      </c>
      <c r="AI790" t="str">
        <f t="shared" si="75"/>
        <v>2. 3K-6K</v>
      </c>
      <c r="AJ790" s="1" t="str">
        <f t="shared" si="76"/>
        <v>3. 6-10 yrs</v>
      </c>
      <c r="AK790" s="1" t="str">
        <f t="shared" si="77"/>
        <v>3. High</v>
      </c>
      <c r="AL790" s="1" t="str">
        <f t="shared" si="78"/>
        <v>4. Best</v>
      </c>
    </row>
    <row r="791" spans="1:38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f t="shared" si="73"/>
        <v>1</v>
      </c>
      <c r="AH791" t="str">
        <f t="shared" si="74"/>
        <v>36-45</v>
      </c>
      <c r="AI791" t="str">
        <f t="shared" si="75"/>
        <v>4. 10K+</v>
      </c>
      <c r="AJ791" s="1" t="str">
        <f t="shared" si="76"/>
        <v>4. 10+ yrs</v>
      </c>
      <c r="AK791" s="1" t="str">
        <f t="shared" si="77"/>
        <v>1. Low</v>
      </c>
      <c r="AL791" s="1" t="str">
        <f t="shared" si="78"/>
        <v>3. Better</v>
      </c>
    </row>
    <row r="792" spans="1:38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f t="shared" si="73"/>
        <v>0</v>
      </c>
      <c r="AH792" t="str">
        <f t="shared" si="74"/>
        <v>26-35</v>
      </c>
      <c r="AI792" t="str">
        <f t="shared" si="75"/>
        <v>3. 6K-10K</v>
      </c>
      <c r="AJ792" s="1" t="str">
        <f t="shared" si="76"/>
        <v>2. 2-5 yrs</v>
      </c>
      <c r="AK792" s="1" t="str">
        <f t="shared" si="77"/>
        <v>4. Very High</v>
      </c>
      <c r="AL792" s="1" t="str">
        <f t="shared" si="78"/>
        <v>3. Better</v>
      </c>
    </row>
    <row r="793" spans="1:38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f t="shared" si="73"/>
        <v>1</v>
      </c>
      <c r="AH793" t="str">
        <f t="shared" si="74"/>
        <v>26-35</v>
      </c>
      <c r="AI793" t="str">
        <f t="shared" si="75"/>
        <v>3. 6K-10K</v>
      </c>
      <c r="AJ793" s="1" t="str">
        <f t="shared" si="76"/>
        <v>3. 6-10 yrs</v>
      </c>
      <c r="AK793" s="1" t="str">
        <f t="shared" si="77"/>
        <v>1. Low</v>
      </c>
      <c r="AL793" s="1" t="str">
        <f t="shared" si="78"/>
        <v>3. Better</v>
      </c>
    </row>
    <row r="794" spans="1:38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f t="shared" si="73"/>
        <v>1</v>
      </c>
      <c r="AH794" t="str">
        <f t="shared" si="74"/>
        <v>26-35</v>
      </c>
      <c r="AI794" t="str">
        <f t="shared" si="75"/>
        <v>2. 3K-6K</v>
      </c>
      <c r="AJ794" s="1" t="str">
        <f t="shared" si="76"/>
        <v>4. 10+ yrs</v>
      </c>
      <c r="AK794" s="1" t="str">
        <f t="shared" si="77"/>
        <v>3. High</v>
      </c>
      <c r="AL794" s="1" t="str">
        <f t="shared" si="78"/>
        <v>3. Better</v>
      </c>
    </row>
    <row r="795" spans="1:38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f t="shared" si="73"/>
        <v>0</v>
      </c>
      <c r="AH795" t="str">
        <f t="shared" si="74"/>
        <v>26-35</v>
      </c>
      <c r="AI795" t="str">
        <f t="shared" si="75"/>
        <v>1. Under 3K</v>
      </c>
      <c r="AJ795" s="1" t="str">
        <f t="shared" si="76"/>
        <v>2. 2-5 yrs</v>
      </c>
      <c r="AK795" s="1" t="str">
        <f t="shared" si="77"/>
        <v>3. High</v>
      </c>
      <c r="AL795" s="1" t="str">
        <f t="shared" si="78"/>
        <v>2. Good</v>
      </c>
    </row>
    <row r="796" spans="1:38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f t="shared" si="73"/>
        <v>0</v>
      </c>
      <c r="AH796" t="str">
        <f t="shared" si="74"/>
        <v>26-35</v>
      </c>
      <c r="AI796" t="str">
        <f t="shared" si="75"/>
        <v>3. 6K-10K</v>
      </c>
      <c r="AJ796" s="1" t="str">
        <f t="shared" si="76"/>
        <v>3. 6-10 yrs</v>
      </c>
      <c r="AK796" s="1" t="str">
        <f t="shared" si="77"/>
        <v>4. Very High</v>
      </c>
      <c r="AL796" s="1" t="str">
        <f t="shared" si="78"/>
        <v>2. Good</v>
      </c>
    </row>
    <row r="797" spans="1:38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f t="shared" si="73"/>
        <v>0</v>
      </c>
      <c r="AH797" t="str">
        <f t="shared" si="74"/>
        <v>36-45</v>
      </c>
      <c r="AI797" t="str">
        <f t="shared" si="75"/>
        <v>3. 6K-10K</v>
      </c>
      <c r="AJ797" s="1" t="str">
        <f t="shared" si="76"/>
        <v>1. 0-1 yrs</v>
      </c>
      <c r="AK797" s="1" t="str">
        <f t="shared" si="77"/>
        <v>4. Very High</v>
      </c>
      <c r="AL797" s="1" t="str">
        <f t="shared" si="78"/>
        <v>3. Better</v>
      </c>
    </row>
    <row r="798" spans="1:38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f t="shared" si="73"/>
        <v>1</v>
      </c>
      <c r="AH798" t="str">
        <f t="shared" si="74"/>
        <v>18-25</v>
      </c>
      <c r="AI798" t="str">
        <f t="shared" si="75"/>
        <v>2. 3K-6K</v>
      </c>
      <c r="AJ798" s="1" t="str">
        <f t="shared" si="76"/>
        <v>3. 6-10 yrs</v>
      </c>
      <c r="AK798" s="1" t="str">
        <f t="shared" si="77"/>
        <v>4. Very High</v>
      </c>
      <c r="AL798" s="1" t="str">
        <f t="shared" si="78"/>
        <v>4. Best</v>
      </c>
    </row>
    <row r="799" spans="1:38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f t="shared" si="73"/>
        <v>1</v>
      </c>
      <c r="AH799" t="str">
        <f t="shared" si="74"/>
        <v>26-35</v>
      </c>
      <c r="AI799" t="str">
        <f t="shared" si="75"/>
        <v>1. Under 3K</v>
      </c>
      <c r="AJ799" s="1" t="str">
        <f t="shared" si="76"/>
        <v>1. 0-1 yrs</v>
      </c>
      <c r="AK799" s="1" t="str">
        <f t="shared" si="77"/>
        <v>3. High</v>
      </c>
      <c r="AL799" s="1" t="str">
        <f t="shared" si="78"/>
        <v>2. Good</v>
      </c>
    </row>
    <row r="800" spans="1:38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f t="shared" si="73"/>
        <v>1</v>
      </c>
      <c r="AH800" t="str">
        <f t="shared" si="74"/>
        <v>26-35</v>
      </c>
      <c r="AI800" t="str">
        <f t="shared" si="75"/>
        <v>1. Under 3K</v>
      </c>
      <c r="AJ800" s="1" t="str">
        <f t="shared" si="76"/>
        <v>2. 2-5 yrs</v>
      </c>
      <c r="AK800" s="1" t="str">
        <f t="shared" si="77"/>
        <v>2. Medium</v>
      </c>
      <c r="AL800" s="1" t="str">
        <f t="shared" si="78"/>
        <v>3. Better</v>
      </c>
    </row>
    <row r="801" spans="1:38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f t="shared" si="73"/>
        <v>0</v>
      </c>
      <c r="AH801" t="str">
        <f t="shared" si="74"/>
        <v>36-45</v>
      </c>
      <c r="AI801" t="str">
        <f t="shared" si="75"/>
        <v>4. 10K+</v>
      </c>
      <c r="AJ801" s="1" t="str">
        <f t="shared" si="76"/>
        <v>4. 10+ yrs</v>
      </c>
      <c r="AK801" s="1" t="str">
        <f t="shared" si="77"/>
        <v>1. Low</v>
      </c>
      <c r="AL801" s="1" t="str">
        <f t="shared" si="78"/>
        <v>3. Better</v>
      </c>
    </row>
    <row r="802" spans="1:38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f t="shared" si="73"/>
        <v>1</v>
      </c>
      <c r="AH802" t="str">
        <f t="shared" si="74"/>
        <v>26-35</v>
      </c>
      <c r="AI802" t="str">
        <f t="shared" si="75"/>
        <v>1. Under 3K</v>
      </c>
      <c r="AJ802" s="1" t="str">
        <f t="shared" si="76"/>
        <v>1. 0-1 yrs</v>
      </c>
      <c r="AK802" s="1" t="str">
        <f t="shared" si="77"/>
        <v>2. Medium</v>
      </c>
      <c r="AL802" s="1" t="str">
        <f t="shared" si="78"/>
        <v>3. Better</v>
      </c>
    </row>
    <row r="803" spans="1:38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f t="shared" si="73"/>
        <v>1</v>
      </c>
      <c r="AH803" t="str">
        <f t="shared" si="74"/>
        <v>46-55</v>
      </c>
      <c r="AI803" t="str">
        <f t="shared" si="75"/>
        <v>2. 3K-6K</v>
      </c>
      <c r="AJ803" s="1" t="str">
        <f t="shared" si="76"/>
        <v>1. 0-1 yrs</v>
      </c>
      <c r="AK803" s="1" t="str">
        <f t="shared" si="77"/>
        <v>3. High</v>
      </c>
      <c r="AL803" s="1" t="str">
        <f t="shared" si="78"/>
        <v>3. Better</v>
      </c>
    </row>
    <row r="804" spans="1:38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f t="shared" si="73"/>
        <v>0</v>
      </c>
      <c r="AH804" t="str">
        <f t="shared" si="74"/>
        <v>26-35</v>
      </c>
      <c r="AI804" t="str">
        <f t="shared" si="75"/>
        <v>2. 3K-6K</v>
      </c>
      <c r="AJ804" s="1" t="str">
        <f t="shared" si="76"/>
        <v>2. 2-5 yrs</v>
      </c>
      <c r="AK804" s="1" t="str">
        <f t="shared" si="77"/>
        <v>2. Medium</v>
      </c>
      <c r="AL804" s="1" t="str">
        <f t="shared" si="78"/>
        <v>3. Better</v>
      </c>
    </row>
    <row r="805" spans="1:38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f t="shared" si="73"/>
        <v>0</v>
      </c>
      <c r="AH805" t="str">
        <f t="shared" si="74"/>
        <v>26-35</v>
      </c>
      <c r="AI805" t="str">
        <f t="shared" si="75"/>
        <v>1. Under 3K</v>
      </c>
      <c r="AJ805" s="1" t="str">
        <f t="shared" si="76"/>
        <v>1. 0-1 yrs</v>
      </c>
      <c r="AK805" s="1" t="str">
        <f t="shared" si="77"/>
        <v>4. Very High</v>
      </c>
      <c r="AL805" s="1" t="str">
        <f t="shared" si="78"/>
        <v>3. Better</v>
      </c>
    </row>
    <row r="806" spans="1:38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f t="shared" si="73"/>
        <v>0</v>
      </c>
      <c r="AH806" t="str">
        <f t="shared" si="74"/>
        <v>46-55</v>
      </c>
      <c r="AI806" t="str">
        <f t="shared" si="75"/>
        <v>4. 10K+</v>
      </c>
      <c r="AJ806" s="1" t="str">
        <f t="shared" si="76"/>
        <v>2. 2-5 yrs</v>
      </c>
      <c r="AK806" s="1" t="str">
        <f t="shared" si="77"/>
        <v>4. Very High</v>
      </c>
      <c r="AL806" s="1" t="str">
        <f t="shared" si="78"/>
        <v>2. Good</v>
      </c>
    </row>
    <row r="807" spans="1:38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f t="shared" si="73"/>
        <v>0</v>
      </c>
      <c r="AH807" t="str">
        <f t="shared" si="74"/>
        <v>36-45</v>
      </c>
      <c r="AI807" t="str">
        <f t="shared" si="75"/>
        <v>2. 3K-6K</v>
      </c>
      <c r="AJ807" s="1" t="str">
        <f t="shared" si="76"/>
        <v>4. 10+ yrs</v>
      </c>
      <c r="AK807" s="1" t="str">
        <f t="shared" si="77"/>
        <v>3. High</v>
      </c>
      <c r="AL807" s="1" t="str">
        <f t="shared" si="78"/>
        <v>3. Better</v>
      </c>
    </row>
    <row r="808" spans="1:38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f t="shared" si="73"/>
        <v>0</v>
      </c>
      <c r="AH808" t="str">
        <f t="shared" si="74"/>
        <v>46-55</v>
      </c>
      <c r="AI808" t="str">
        <f t="shared" si="75"/>
        <v>4. 10K+</v>
      </c>
      <c r="AJ808" s="1" t="str">
        <f t="shared" si="76"/>
        <v>3. 6-10 yrs</v>
      </c>
      <c r="AK808" s="1" t="str">
        <f t="shared" si="77"/>
        <v>2. Medium</v>
      </c>
      <c r="AL808" s="1" t="str">
        <f t="shared" si="78"/>
        <v>3. Better</v>
      </c>
    </row>
    <row r="809" spans="1:38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f t="shared" si="73"/>
        <v>0</v>
      </c>
      <c r="AH809" t="str">
        <f t="shared" si="74"/>
        <v>36-45</v>
      </c>
      <c r="AI809" t="str">
        <f t="shared" si="75"/>
        <v>3. 6K-10K</v>
      </c>
      <c r="AJ809" s="1" t="str">
        <f t="shared" si="76"/>
        <v>3. 6-10 yrs</v>
      </c>
      <c r="AK809" s="1" t="str">
        <f t="shared" si="77"/>
        <v>3. High</v>
      </c>
      <c r="AL809" s="1" t="str">
        <f t="shared" si="78"/>
        <v>3. Better</v>
      </c>
    </row>
    <row r="810" spans="1:38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f t="shared" si="73"/>
        <v>0</v>
      </c>
      <c r="AH810" t="str">
        <f t="shared" si="74"/>
        <v>26-35</v>
      </c>
      <c r="AI810" t="str">
        <f t="shared" si="75"/>
        <v>1. Under 3K</v>
      </c>
      <c r="AJ810" s="1" t="str">
        <f t="shared" si="76"/>
        <v>3. 6-10 yrs</v>
      </c>
      <c r="AK810" s="1" t="str">
        <f t="shared" si="77"/>
        <v>4. Very High</v>
      </c>
      <c r="AL810" s="1" t="str">
        <f t="shared" si="78"/>
        <v>3. Better</v>
      </c>
    </row>
    <row r="811" spans="1:38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f t="shared" si="73"/>
        <v>0</v>
      </c>
      <c r="AH811" t="str">
        <f t="shared" si="74"/>
        <v>26-35</v>
      </c>
      <c r="AI811" t="str">
        <f t="shared" si="75"/>
        <v>3. 6K-10K</v>
      </c>
      <c r="AJ811" s="1" t="str">
        <f t="shared" si="76"/>
        <v>3. 6-10 yrs</v>
      </c>
      <c r="AK811" s="1" t="str">
        <f t="shared" si="77"/>
        <v>2. Medium</v>
      </c>
      <c r="AL811" s="1" t="str">
        <f t="shared" si="78"/>
        <v>2. Good</v>
      </c>
    </row>
    <row r="812" spans="1:38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f t="shared" si="73"/>
        <v>0</v>
      </c>
      <c r="AH812" t="str">
        <f t="shared" si="74"/>
        <v>46-55</v>
      </c>
      <c r="AI812" t="str">
        <f t="shared" si="75"/>
        <v>4. 10K+</v>
      </c>
      <c r="AJ812" s="1" t="str">
        <f t="shared" si="76"/>
        <v>4. 10+ yrs</v>
      </c>
      <c r="AK812" s="1" t="str">
        <f t="shared" si="77"/>
        <v>3. High</v>
      </c>
      <c r="AL812" s="1" t="str">
        <f t="shared" si="78"/>
        <v>3. Better</v>
      </c>
    </row>
    <row r="813" spans="1:38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f t="shared" si="73"/>
        <v>0</v>
      </c>
      <c r="AH813" t="str">
        <f t="shared" si="74"/>
        <v>36-45</v>
      </c>
      <c r="AI813" t="str">
        <f t="shared" si="75"/>
        <v>3. 6K-10K</v>
      </c>
      <c r="AJ813" s="1" t="str">
        <f t="shared" si="76"/>
        <v>1. 0-1 yrs</v>
      </c>
      <c r="AK813" s="1" t="str">
        <f t="shared" si="77"/>
        <v>2. Medium</v>
      </c>
      <c r="AL813" s="1" t="str">
        <f t="shared" si="78"/>
        <v>3. Better</v>
      </c>
    </row>
    <row r="814" spans="1:38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f t="shared" si="73"/>
        <v>0</v>
      </c>
      <c r="AH814" t="str">
        <f t="shared" si="74"/>
        <v>36-45</v>
      </c>
      <c r="AI814" t="str">
        <f t="shared" si="75"/>
        <v>4. 10K+</v>
      </c>
      <c r="AJ814" s="1" t="str">
        <f t="shared" si="76"/>
        <v>3. 6-10 yrs</v>
      </c>
      <c r="AK814" s="1" t="str">
        <f t="shared" si="77"/>
        <v>1. Low</v>
      </c>
      <c r="AL814" s="1" t="str">
        <f t="shared" si="78"/>
        <v>3. Better</v>
      </c>
    </row>
    <row r="815" spans="1:38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f t="shared" si="73"/>
        <v>1</v>
      </c>
      <c r="AH815" t="str">
        <f t="shared" si="74"/>
        <v>36-45</v>
      </c>
      <c r="AI815" t="str">
        <f t="shared" si="75"/>
        <v>4. 10K+</v>
      </c>
      <c r="AJ815" s="1" t="str">
        <f t="shared" si="76"/>
        <v>4. 10+ yrs</v>
      </c>
      <c r="AK815" s="1" t="str">
        <f t="shared" si="77"/>
        <v>4. Very High</v>
      </c>
      <c r="AL815" s="1" t="str">
        <f t="shared" si="78"/>
        <v>3. Better</v>
      </c>
    </row>
    <row r="816" spans="1:38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f t="shared" si="73"/>
        <v>0</v>
      </c>
      <c r="AH816" t="str">
        <f t="shared" si="74"/>
        <v>36-45</v>
      </c>
      <c r="AI816" t="str">
        <f t="shared" si="75"/>
        <v>4. 10K+</v>
      </c>
      <c r="AJ816" s="1" t="str">
        <f t="shared" si="76"/>
        <v>4. 10+ yrs</v>
      </c>
      <c r="AK816" s="1" t="str">
        <f t="shared" si="77"/>
        <v>3. High</v>
      </c>
      <c r="AL816" s="1" t="str">
        <f t="shared" si="78"/>
        <v>4. Best</v>
      </c>
    </row>
    <row r="817" spans="1:38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f t="shared" si="73"/>
        <v>0</v>
      </c>
      <c r="AH817" t="str">
        <f t="shared" si="74"/>
        <v>18-25</v>
      </c>
      <c r="AI817" t="str">
        <f t="shared" si="75"/>
        <v>1. Under 3K</v>
      </c>
      <c r="AJ817" s="1" t="str">
        <f t="shared" si="76"/>
        <v>2. 2-5 yrs</v>
      </c>
      <c r="AK817" s="1" t="str">
        <f t="shared" si="77"/>
        <v>2. Medium</v>
      </c>
      <c r="AL817" s="1" t="str">
        <f t="shared" si="78"/>
        <v>4. Best</v>
      </c>
    </row>
    <row r="818" spans="1:38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f t="shared" si="73"/>
        <v>0</v>
      </c>
      <c r="AH818" t="str">
        <f t="shared" si="74"/>
        <v>36-45</v>
      </c>
      <c r="AI818" t="str">
        <f t="shared" si="75"/>
        <v>3. 6K-10K</v>
      </c>
      <c r="AJ818" s="1" t="str">
        <f t="shared" si="76"/>
        <v>2. 2-5 yrs</v>
      </c>
      <c r="AK818" s="1" t="str">
        <f t="shared" si="77"/>
        <v>2. Medium</v>
      </c>
      <c r="AL818" s="1" t="str">
        <f t="shared" si="78"/>
        <v>2. Good</v>
      </c>
    </row>
    <row r="819" spans="1:38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f t="shared" si="73"/>
        <v>0</v>
      </c>
      <c r="AH819" t="str">
        <f t="shared" si="74"/>
        <v>36-45</v>
      </c>
      <c r="AI819" t="str">
        <f t="shared" si="75"/>
        <v>3. 6K-10K</v>
      </c>
      <c r="AJ819" s="1" t="str">
        <f t="shared" si="76"/>
        <v>4. 10+ yrs</v>
      </c>
      <c r="AK819" s="1" t="str">
        <f t="shared" si="77"/>
        <v>4. Very High</v>
      </c>
      <c r="AL819" s="1" t="str">
        <f t="shared" si="78"/>
        <v>3. Better</v>
      </c>
    </row>
    <row r="820" spans="1:38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f t="shared" si="73"/>
        <v>0</v>
      </c>
      <c r="AH820" t="str">
        <f t="shared" si="74"/>
        <v>26-35</v>
      </c>
      <c r="AI820" t="str">
        <f t="shared" si="75"/>
        <v>1. Under 3K</v>
      </c>
      <c r="AJ820" s="1" t="str">
        <f t="shared" si="76"/>
        <v>2. 2-5 yrs</v>
      </c>
      <c r="AK820" s="1" t="str">
        <f t="shared" si="77"/>
        <v>4. Very High</v>
      </c>
      <c r="AL820" s="1" t="str">
        <f t="shared" si="78"/>
        <v>3. Better</v>
      </c>
    </row>
    <row r="821" spans="1:38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f t="shared" si="73"/>
        <v>0</v>
      </c>
      <c r="AH821" t="str">
        <f t="shared" si="74"/>
        <v>26-35</v>
      </c>
      <c r="AI821" t="str">
        <f t="shared" si="75"/>
        <v>2. 3K-6K</v>
      </c>
      <c r="AJ821" s="1" t="str">
        <f t="shared" si="76"/>
        <v>2. 2-5 yrs</v>
      </c>
      <c r="AK821" s="1" t="str">
        <f t="shared" si="77"/>
        <v>2. Medium</v>
      </c>
      <c r="AL821" s="1" t="str">
        <f t="shared" si="78"/>
        <v>1. Bad</v>
      </c>
    </row>
    <row r="822" spans="1:38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f t="shared" si="73"/>
        <v>0</v>
      </c>
      <c r="AH822" t="str">
        <f t="shared" si="74"/>
        <v>26-35</v>
      </c>
      <c r="AI822" t="str">
        <f t="shared" si="75"/>
        <v>2. 3K-6K</v>
      </c>
      <c r="AJ822" s="1" t="str">
        <f t="shared" si="76"/>
        <v>2. 2-5 yrs</v>
      </c>
      <c r="AK822" s="1" t="str">
        <f t="shared" si="77"/>
        <v>4. Very High</v>
      </c>
      <c r="AL822" s="1" t="str">
        <f t="shared" si="78"/>
        <v>3. Better</v>
      </c>
    </row>
    <row r="823" spans="1:38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f t="shared" si="73"/>
        <v>0</v>
      </c>
      <c r="AH823" t="str">
        <f t="shared" si="74"/>
        <v>46-55</v>
      </c>
      <c r="AI823" t="str">
        <f t="shared" si="75"/>
        <v>4. 10K+</v>
      </c>
      <c r="AJ823" s="1" t="str">
        <f t="shared" si="76"/>
        <v>3. 6-10 yrs</v>
      </c>
      <c r="AK823" s="1" t="str">
        <f t="shared" si="77"/>
        <v>2. Medium</v>
      </c>
      <c r="AL823" s="1" t="str">
        <f t="shared" si="78"/>
        <v>3. Better</v>
      </c>
    </row>
    <row r="824" spans="1:38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f t="shared" si="73"/>
        <v>0</v>
      </c>
      <c r="AH824" t="str">
        <f t="shared" si="74"/>
        <v>26-35</v>
      </c>
      <c r="AI824" t="str">
        <f t="shared" si="75"/>
        <v>2. 3K-6K</v>
      </c>
      <c r="AJ824" s="1" t="str">
        <f t="shared" si="76"/>
        <v>2. 2-5 yrs</v>
      </c>
      <c r="AK824" s="1" t="str">
        <f t="shared" si="77"/>
        <v>3. High</v>
      </c>
      <c r="AL824" s="1" t="str">
        <f t="shared" si="78"/>
        <v>2. Good</v>
      </c>
    </row>
    <row r="825" spans="1:38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f t="shared" si="73"/>
        <v>0</v>
      </c>
      <c r="AH825" t="str">
        <f t="shared" si="74"/>
        <v>26-35</v>
      </c>
      <c r="AI825" t="str">
        <f t="shared" si="75"/>
        <v>2. 3K-6K</v>
      </c>
      <c r="AJ825" s="1" t="str">
        <f t="shared" si="76"/>
        <v>3. 6-10 yrs</v>
      </c>
      <c r="AK825" s="1" t="str">
        <f t="shared" si="77"/>
        <v>2. Medium</v>
      </c>
      <c r="AL825" s="1" t="str">
        <f t="shared" si="78"/>
        <v>2. Good</v>
      </c>
    </row>
    <row r="826" spans="1:38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f t="shared" si="73"/>
        <v>0</v>
      </c>
      <c r="AH826" t="str">
        <f t="shared" si="74"/>
        <v>36-45</v>
      </c>
      <c r="AI826" t="str">
        <f t="shared" si="75"/>
        <v>2. 3K-6K</v>
      </c>
      <c r="AJ826" s="1" t="str">
        <f t="shared" si="76"/>
        <v>1. 0-1 yrs</v>
      </c>
      <c r="AK826" s="1" t="str">
        <f t="shared" si="77"/>
        <v>4. Very High</v>
      </c>
      <c r="AL826" s="1" t="str">
        <f t="shared" si="78"/>
        <v>3. Better</v>
      </c>
    </row>
    <row r="827" spans="1:38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f t="shared" si="73"/>
        <v>0</v>
      </c>
      <c r="AH827" t="str">
        <f t="shared" si="74"/>
        <v>26-35</v>
      </c>
      <c r="AI827" t="str">
        <f t="shared" si="75"/>
        <v>2. 3K-6K</v>
      </c>
      <c r="AJ827" s="1" t="str">
        <f t="shared" si="76"/>
        <v>3. 6-10 yrs</v>
      </c>
      <c r="AK827" s="1" t="str">
        <f t="shared" si="77"/>
        <v>4. Very High</v>
      </c>
      <c r="AL827" s="1" t="str">
        <f t="shared" si="78"/>
        <v>2. Good</v>
      </c>
    </row>
    <row r="828" spans="1:38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f t="shared" si="73"/>
        <v>0</v>
      </c>
      <c r="AH828" t="str">
        <f t="shared" si="74"/>
        <v>36-45</v>
      </c>
      <c r="AI828" t="str">
        <f t="shared" si="75"/>
        <v>1. Under 3K</v>
      </c>
      <c r="AJ828" s="1" t="str">
        <f t="shared" si="76"/>
        <v>3. 6-10 yrs</v>
      </c>
      <c r="AK828" s="1" t="str">
        <f t="shared" si="77"/>
        <v>3. High</v>
      </c>
      <c r="AL828" s="1" t="str">
        <f t="shared" si="78"/>
        <v>4. Best</v>
      </c>
    </row>
    <row r="829" spans="1:38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f t="shared" si="73"/>
        <v>0</v>
      </c>
      <c r="AH829" t="str">
        <f t="shared" si="74"/>
        <v>26-35</v>
      </c>
      <c r="AI829" t="str">
        <f t="shared" si="75"/>
        <v>1. Under 3K</v>
      </c>
      <c r="AJ829" s="1" t="str">
        <f t="shared" si="76"/>
        <v>2. 2-5 yrs</v>
      </c>
      <c r="AK829" s="1" t="str">
        <f t="shared" si="77"/>
        <v>3. High</v>
      </c>
      <c r="AL829" s="1" t="str">
        <f t="shared" si="78"/>
        <v>3. Better</v>
      </c>
    </row>
    <row r="830" spans="1:38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f t="shared" si="73"/>
        <v>1</v>
      </c>
      <c r="AH830" t="str">
        <f t="shared" si="74"/>
        <v>18-25</v>
      </c>
      <c r="AI830" t="str">
        <f t="shared" si="75"/>
        <v>1. Under 3K</v>
      </c>
      <c r="AJ830" s="1" t="str">
        <f t="shared" si="76"/>
        <v>1. 0-1 yrs</v>
      </c>
      <c r="AK830" s="1" t="str">
        <f t="shared" si="77"/>
        <v>3. High</v>
      </c>
      <c r="AL830" s="1" t="str">
        <f t="shared" si="78"/>
        <v>3. Better</v>
      </c>
    </row>
    <row r="831" spans="1:38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f t="shared" si="73"/>
        <v>1</v>
      </c>
      <c r="AH831" t="str">
        <f t="shared" si="74"/>
        <v>26-35</v>
      </c>
      <c r="AI831" t="str">
        <f t="shared" si="75"/>
        <v>3. 6K-10K</v>
      </c>
      <c r="AJ831" s="1" t="str">
        <f t="shared" si="76"/>
        <v>2. 2-5 yrs</v>
      </c>
      <c r="AK831" s="1" t="str">
        <f t="shared" si="77"/>
        <v>1. Low</v>
      </c>
      <c r="AL831" s="1" t="str">
        <f t="shared" si="78"/>
        <v>3. Better</v>
      </c>
    </row>
    <row r="832" spans="1:38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f t="shared" si="73"/>
        <v>0</v>
      </c>
      <c r="AH832" t="str">
        <f t="shared" si="74"/>
        <v>36-45</v>
      </c>
      <c r="AI832" t="str">
        <f t="shared" si="75"/>
        <v>2. 3K-6K</v>
      </c>
      <c r="AJ832" s="1" t="str">
        <f t="shared" si="76"/>
        <v>1. 0-1 yrs</v>
      </c>
      <c r="AK832" s="1" t="str">
        <f t="shared" si="77"/>
        <v>4. Very High</v>
      </c>
      <c r="AL832" s="1" t="str">
        <f t="shared" si="78"/>
        <v>3. Better</v>
      </c>
    </row>
    <row r="833" spans="1:38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f t="shared" si="73"/>
        <v>1</v>
      </c>
      <c r="AH833" t="str">
        <f t="shared" si="74"/>
        <v>26-35</v>
      </c>
      <c r="AI833" t="str">
        <f t="shared" si="75"/>
        <v>1. Under 3K</v>
      </c>
      <c r="AJ833" s="1" t="str">
        <f t="shared" si="76"/>
        <v>2. 2-5 yrs</v>
      </c>
      <c r="AK833" s="1" t="str">
        <f t="shared" si="77"/>
        <v>3. High</v>
      </c>
      <c r="AL833" s="1" t="str">
        <f t="shared" si="78"/>
        <v>2. Good</v>
      </c>
    </row>
    <row r="834" spans="1:38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f t="shared" ref="AG834:AG897" si="79">IF(B834="Yes",1,0)</f>
        <v>0</v>
      </c>
      <c r="AH834" t="str">
        <f t="shared" ref="AH834:AH897" si="80">IF(A834&lt;26,"18-25",IF(A834&lt;36,"26-35",IF(A834&lt;46,"36-45",IF(A834&lt;56,"46-55","56+"))))</f>
        <v>36-45</v>
      </c>
      <c r="AI834" t="str">
        <f t="shared" ref="AI834:AI897" si="81">IF(R834&lt;3000,"1. Under 3K",IF(R834&lt;6000,"2. 3K-6K",IF(R834&lt;10000,"3. 6K-10K","4. 10K+")))</f>
        <v>2. 3K-6K</v>
      </c>
      <c r="AJ834" s="1" t="str">
        <f t="shared" ref="AJ834:AJ897" si="82">IF(AC834&lt;2,"1. 0-1 yrs",IF(AC834&lt;6,"2. 2-5 yrs",IF(AC834&lt;11,"3. 6-10 yrs","4. 10+ yrs")))</f>
        <v>3. 6-10 yrs</v>
      </c>
      <c r="AK834" s="1" t="str">
        <f t="shared" ref="AK834:AK897" si="83">CHOOSE(P834,"1. Low","2. Medium","3. High","4. Very High")</f>
        <v>4. Very High</v>
      </c>
      <c r="AL834" s="1" t="str">
        <f t="shared" ref="AL834:AL897" si="84">CHOOSE(AB834,"1. Bad","2. Good","3. Better","4. Best")</f>
        <v>3. Better</v>
      </c>
    </row>
    <row r="835" spans="1:38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f t="shared" si="79"/>
        <v>0</v>
      </c>
      <c r="AH835" t="str">
        <f t="shared" si="80"/>
        <v>26-35</v>
      </c>
      <c r="AI835" t="str">
        <f t="shared" si="81"/>
        <v>1. Under 3K</v>
      </c>
      <c r="AJ835" s="1" t="str">
        <f t="shared" si="82"/>
        <v>2. 2-5 yrs</v>
      </c>
      <c r="AK835" s="1" t="str">
        <f t="shared" si="83"/>
        <v>3. High</v>
      </c>
      <c r="AL835" s="1" t="str">
        <f t="shared" si="84"/>
        <v>3. Better</v>
      </c>
    </row>
    <row r="836" spans="1:38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f t="shared" si="79"/>
        <v>0</v>
      </c>
      <c r="AH836" t="str">
        <f t="shared" si="80"/>
        <v>26-35</v>
      </c>
      <c r="AI836" t="str">
        <f t="shared" si="81"/>
        <v>2. 3K-6K</v>
      </c>
      <c r="AJ836" s="1" t="str">
        <f t="shared" si="82"/>
        <v>3. 6-10 yrs</v>
      </c>
      <c r="AK836" s="1" t="str">
        <f t="shared" si="83"/>
        <v>3. High</v>
      </c>
      <c r="AL836" s="1" t="str">
        <f t="shared" si="84"/>
        <v>2. Good</v>
      </c>
    </row>
    <row r="837" spans="1:38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f t="shared" si="79"/>
        <v>0</v>
      </c>
      <c r="AH837" t="str">
        <f t="shared" si="80"/>
        <v>26-35</v>
      </c>
      <c r="AI837" t="str">
        <f t="shared" si="81"/>
        <v>2. 3K-6K</v>
      </c>
      <c r="AJ837" s="1" t="str">
        <f t="shared" si="82"/>
        <v>2. 2-5 yrs</v>
      </c>
      <c r="AK837" s="1" t="str">
        <f t="shared" si="83"/>
        <v>3. High</v>
      </c>
      <c r="AL837" s="1" t="str">
        <f t="shared" si="84"/>
        <v>1. Bad</v>
      </c>
    </row>
    <row r="838" spans="1:38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f t="shared" si="79"/>
        <v>1</v>
      </c>
      <c r="AH838" t="str">
        <f t="shared" si="80"/>
        <v>26-35</v>
      </c>
      <c r="AI838" t="str">
        <f t="shared" si="81"/>
        <v>3. 6K-10K</v>
      </c>
      <c r="AJ838" s="1" t="str">
        <f t="shared" si="82"/>
        <v>4. 10+ yrs</v>
      </c>
      <c r="AK838" s="1" t="str">
        <f t="shared" si="83"/>
        <v>1. Low</v>
      </c>
      <c r="AL838" s="1" t="str">
        <f t="shared" si="84"/>
        <v>1. Bad</v>
      </c>
    </row>
    <row r="839" spans="1:38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f t="shared" si="79"/>
        <v>0</v>
      </c>
      <c r="AH839" t="str">
        <f t="shared" si="80"/>
        <v>36-45</v>
      </c>
      <c r="AI839" t="str">
        <f t="shared" si="81"/>
        <v>4. 10K+</v>
      </c>
      <c r="AJ839" s="1" t="str">
        <f t="shared" si="82"/>
        <v>4. 10+ yrs</v>
      </c>
      <c r="AK839" s="1" t="str">
        <f t="shared" si="83"/>
        <v>3. High</v>
      </c>
      <c r="AL839" s="1" t="str">
        <f t="shared" si="84"/>
        <v>2. Good</v>
      </c>
    </row>
    <row r="840" spans="1:38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f t="shared" si="79"/>
        <v>1</v>
      </c>
      <c r="AH840" t="str">
        <f t="shared" si="80"/>
        <v>36-45</v>
      </c>
      <c r="AI840" t="str">
        <f t="shared" si="81"/>
        <v>4. 10K+</v>
      </c>
      <c r="AJ840" s="1" t="str">
        <f t="shared" si="82"/>
        <v>4. 10+ yrs</v>
      </c>
      <c r="AK840" s="1" t="str">
        <f t="shared" si="83"/>
        <v>1. Low</v>
      </c>
      <c r="AL840" s="1" t="str">
        <f t="shared" si="84"/>
        <v>2. Good</v>
      </c>
    </row>
    <row r="841" spans="1:38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f t="shared" si="79"/>
        <v>0</v>
      </c>
      <c r="AH841" t="str">
        <f t="shared" si="80"/>
        <v>36-45</v>
      </c>
      <c r="AI841" t="str">
        <f t="shared" si="81"/>
        <v>2. 3K-6K</v>
      </c>
      <c r="AJ841" s="1" t="str">
        <f t="shared" si="82"/>
        <v>3. 6-10 yrs</v>
      </c>
      <c r="AK841" s="1" t="str">
        <f t="shared" si="83"/>
        <v>1. Low</v>
      </c>
      <c r="AL841" s="1" t="str">
        <f t="shared" si="84"/>
        <v>4. Best</v>
      </c>
    </row>
    <row r="842" spans="1:38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f t="shared" si="79"/>
        <v>0</v>
      </c>
      <c r="AH842" t="str">
        <f t="shared" si="80"/>
        <v>26-35</v>
      </c>
      <c r="AI842" t="str">
        <f t="shared" si="81"/>
        <v>1. Under 3K</v>
      </c>
      <c r="AJ842" s="1" t="str">
        <f t="shared" si="82"/>
        <v>3. 6-10 yrs</v>
      </c>
      <c r="AK842" s="1" t="str">
        <f t="shared" si="83"/>
        <v>3. High</v>
      </c>
      <c r="AL842" s="1" t="str">
        <f t="shared" si="84"/>
        <v>3. Better</v>
      </c>
    </row>
    <row r="843" spans="1:38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f t="shared" si="79"/>
        <v>0</v>
      </c>
      <c r="AH843" t="str">
        <f t="shared" si="80"/>
        <v>18-25</v>
      </c>
      <c r="AI843" t="str">
        <f t="shared" si="81"/>
        <v>2. 3K-6K</v>
      </c>
      <c r="AJ843" s="1" t="str">
        <f t="shared" si="82"/>
        <v>2. 2-5 yrs</v>
      </c>
      <c r="AK843" s="1" t="str">
        <f t="shared" si="83"/>
        <v>2. Medium</v>
      </c>
      <c r="AL843" s="1" t="str">
        <f t="shared" si="84"/>
        <v>3. Better</v>
      </c>
    </row>
    <row r="844" spans="1:38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f t="shared" si="79"/>
        <v>1</v>
      </c>
      <c r="AH844" t="str">
        <f t="shared" si="80"/>
        <v>26-35</v>
      </c>
      <c r="AI844" t="str">
        <f t="shared" si="81"/>
        <v>1. Under 3K</v>
      </c>
      <c r="AJ844" s="1" t="str">
        <f t="shared" si="82"/>
        <v>1. 0-1 yrs</v>
      </c>
      <c r="AK844" s="1" t="str">
        <f t="shared" si="83"/>
        <v>4. Very High</v>
      </c>
      <c r="AL844" s="1" t="str">
        <f t="shared" si="84"/>
        <v>2. Good</v>
      </c>
    </row>
    <row r="845" spans="1:38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f t="shared" si="79"/>
        <v>0</v>
      </c>
      <c r="AH845" t="str">
        <f t="shared" si="80"/>
        <v>26-35</v>
      </c>
      <c r="AI845" t="str">
        <f t="shared" si="81"/>
        <v>2. 3K-6K</v>
      </c>
      <c r="AJ845" s="1" t="str">
        <f t="shared" si="82"/>
        <v>3. 6-10 yrs</v>
      </c>
      <c r="AK845" s="1" t="str">
        <f t="shared" si="83"/>
        <v>4. Very High</v>
      </c>
      <c r="AL845" s="1" t="str">
        <f t="shared" si="84"/>
        <v>3. Better</v>
      </c>
    </row>
    <row r="846" spans="1:38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f t="shared" si="79"/>
        <v>0</v>
      </c>
      <c r="AH846" t="str">
        <f t="shared" si="80"/>
        <v>26-35</v>
      </c>
      <c r="AI846" t="str">
        <f t="shared" si="81"/>
        <v>3. 6K-10K</v>
      </c>
      <c r="AJ846" s="1" t="str">
        <f t="shared" si="82"/>
        <v>3. 6-10 yrs</v>
      </c>
      <c r="AK846" s="1" t="str">
        <f t="shared" si="83"/>
        <v>3. High</v>
      </c>
      <c r="AL846" s="1" t="str">
        <f t="shared" si="84"/>
        <v>3. Better</v>
      </c>
    </row>
    <row r="847" spans="1:38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f t="shared" si="79"/>
        <v>0</v>
      </c>
      <c r="AH847" t="str">
        <f t="shared" si="80"/>
        <v>36-45</v>
      </c>
      <c r="AI847" t="str">
        <f t="shared" si="81"/>
        <v>2. 3K-6K</v>
      </c>
      <c r="AJ847" s="1" t="str">
        <f t="shared" si="82"/>
        <v>1. 0-1 yrs</v>
      </c>
      <c r="AK847" s="1" t="str">
        <f t="shared" si="83"/>
        <v>4. Very High</v>
      </c>
      <c r="AL847" s="1" t="str">
        <f t="shared" si="84"/>
        <v>1. Bad</v>
      </c>
    </row>
    <row r="848" spans="1:38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f t="shared" si="79"/>
        <v>0</v>
      </c>
      <c r="AH848" t="str">
        <f t="shared" si="80"/>
        <v>26-35</v>
      </c>
      <c r="AI848" t="str">
        <f t="shared" si="81"/>
        <v>4. 10K+</v>
      </c>
      <c r="AJ848" s="1" t="str">
        <f t="shared" si="82"/>
        <v>3. 6-10 yrs</v>
      </c>
      <c r="AK848" s="1" t="str">
        <f t="shared" si="83"/>
        <v>2. Medium</v>
      </c>
      <c r="AL848" s="1" t="str">
        <f t="shared" si="84"/>
        <v>4. Best</v>
      </c>
    </row>
    <row r="849" spans="1:38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f t="shared" si="79"/>
        <v>0</v>
      </c>
      <c r="AH849" t="str">
        <f t="shared" si="80"/>
        <v>26-35</v>
      </c>
      <c r="AI849" t="str">
        <f t="shared" si="81"/>
        <v>2. 3K-6K</v>
      </c>
      <c r="AJ849" s="1" t="str">
        <f t="shared" si="82"/>
        <v>4. 10+ yrs</v>
      </c>
      <c r="AK849" s="1" t="str">
        <f t="shared" si="83"/>
        <v>1. Low</v>
      </c>
      <c r="AL849" s="1" t="str">
        <f t="shared" si="84"/>
        <v>3. Better</v>
      </c>
    </row>
    <row r="850" spans="1:38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f t="shared" si="79"/>
        <v>0</v>
      </c>
      <c r="AH850" t="str">
        <f t="shared" si="80"/>
        <v>26-35</v>
      </c>
      <c r="AI850" t="str">
        <f t="shared" si="81"/>
        <v>1. Under 3K</v>
      </c>
      <c r="AJ850" s="1" t="str">
        <f t="shared" si="82"/>
        <v>2. 2-5 yrs</v>
      </c>
      <c r="AK850" s="1" t="str">
        <f t="shared" si="83"/>
        <v>4. Very High</v>
      </c>
      <c r="AL850" s="1" t="str">
        <f t="shared" si="84"/>
        <v>4. Best</v>
      </c>
    </row>
    <row r="851" spans="1:38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f t="shared" si="79"/>
        <v>1</v>
      </c>
      <c r="AH851" t="str">
        <f t="shared" si="80"/>
        <v>36-45</v>
      </c>
      <c r="AI851" t="str">
        <f t="shared" si="81"/>
        <v>2. 3K-6K</v>
      </c>
      <c r="AJ851" s="1" t="str">
        <f t="shared" si="82"/>
        <v>2. 2-5 yrs</v>
      </c>
      <c r="AK851" s="1" t="str">
        <f t="shared" si="83"/>
        <v>3. High</v>
      </c>
      <c r="AL851" s="1" t="str">
        <f t="shared" si="84"/>
        <v>2. Good</v>
      </c>
    </row>
    <row r="852" spans="1:38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f t="shared" si="79"/>
        <v>0</v>
      </c>
      <c r="AH852" t="str">
        <f t="shared" si="80"/>
        <v>26-35</v>
      </c>
      <c r="AI852" t="str">
        <f t="shared" si="81"/>
        <v>1. Under 3K</v>
      </c>
      <c r="AJ852" s="1" t="str">
        <f t="shared" si="82"/>
        <v>1. 0-1 yrs</v>
      </c>
      <c r="AK852" s="1" t="str">
        <f t="shared" si="83"/>
        <v>1. Low</v>
      </c>
      <c r="AL852" s="1" t="str">
        <f t="shared" si="84"/>
        <v>3. Better</v>
      </c>
    </row>
    <row r="853" spans="1:38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f t="shared" si="79"/>
        <v>0</v>
      </c>
      <c r="AH853" t="str">
        <f t="shared" si="80"/>
        <v>56+</v>
      </c>
      <c r="AI853" t="str">
        <f t="shared" si="81"/>
        <v>4. 10K+</v>
      </c>
      <c r="AJ853" s="1" t="str">
        <f t="shared" si="82"/>
        <v>2. 2-5 yrs</v>
      </c>
      <c r="AK853" s="1" t="str">
        <f t="shared" si="83"/>
        <v>1. Low</v>
      </c>
      <c r="AL853" s="1" t="str">
        <f t="shared" si="84"/>
        <v>3. Better</v>
      </c>
    </row>
    <row r="854" spans="1:38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f t="shared" si="79"/>
        <v>0</v>
      </c>
      <c r="AH854" t="str">
        <f t="shared" si="80"/>
        <v>26-35</v>
      </c>
      <c r="AI854" t="str">
        <f t="shared" si="81"/>
        <v>2. 3K-6K</v>
      </c>
      <c r="AJ854" s="1" t="str">
        <f t="shared" si="82"/>
        <v>3. 6-10 yrs</v>
      </c>
      <c r="AK854" s="1" t="str">
        <f t="shared" si="83"/>
        <v>4. Very High</v>
      </c>
      <c r="AL854" s="1" t="str">
        <f t="shared" si="84"/>
        <v>3. Better</v>
      </c>
    </row>
    <row r="855" spans="1:38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f t="shared" si="79"/>
        <v>0</v>
      </c>
      <c r="AH855" t="str">
        <f t="shared" si="80"/>
        <v>18-25</v>
      </c>
      <c r="AI855" t="str">
        <f t="shared" si="81"/>
        <v>1. Under 3K</v>
      </c>
      <c r="AJ855" s="1" t="str">
        <f t="shared" si="82"/>
        <v>1. 0-1 yrs</v>
      </c>
      <c r="AK855" s="1" t="str">
        <f t="shared" si="83"/>
        <v>1. Low</v>
      </c>
      <c r="AL855" s="1" t="str">
        <f t="shared" si="84"/>
        <v>3. Better</v>
      </c>
    </row>
    <row r="856" spans="1:38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f t="shared" si="79"/>
        <v>0</v>
      </c>
      <c r="AH856" t="str">
        <f t="shared" si="80"/>
        <v>36-45</v>
      </c>
      <c r="AI856" t="str">
        <f t="shared" si="81"/>
        <v>2. 3K-6K</v>
      </c>
      <c r="AJ856" s="1" t="str">
        <f t="shared" si="82"/>
        <v>2. 2-5 yrs</v>
      </c>
      <c r="AK856" s="1" t="str">
        <f t="shared" si="83"/>
        <v>3. High</v>
      </c>
      <c r="AL856" s="1" t="str">
        <f t="shared" si="84"/>
        <v>2. Good</v>
      </c>
    </row>
    <row r="857" spans="1:38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f t="shared" si="79"/>
        <v>0</v>
      </c>
      <c r="AH857" t="str">
        <f t="shared" si="80"/>
        <v>36-45</v>
      </c>
      <c r="AI857" t="str">
        <f t="shared" si="81"/>
        <v>3. 6K-10K</v>
      </c>
      <c r="AJ857" s="1" t="str">
        <f t="shared" si="82"/>
        <v>4. 10+ yrs</v>
      </c>
      <c r="AK857" s="1" t="str">
        <f t="shared" si="83"/>
        <v>4. Very High</v>
      </c>
      <c r="AL857" s="1" t="str">
        <f t="shared" si="84"/>
        <v>2. Good</v>
      </c>
    </row>
    <row r="858" spans="1:38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f t="shared" si="79"/>
        <v>0</v>
      </c>
      <c r="AH858" t="str">
        <f t="shared" si="80"/>
        <v>18-25</v>
      </c>
      <c r="AI858" t="str">
        <f t="shared" si="81"/>
        <v>2. 3K-6K</v>
      </c>
      <c r="AJ858" s="1" t="str">
        <f t="shared" si="82"/>
        <v>2. 2-5 yrs</v>
      </c>
      <c r="AK858" s="1" t="str">
        <f t="shared" si="83"/>
        <v>3. High</v>
      </c>
      <c r="AL858" s="1" t="str">
        <f t="shared" si="84"/>
        <v>2. Good</v>
      </c>
    </row>
    <row r="859" spans="1:38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f t="shared" si="79"/>
        <v>1</v>
      </c>
      <c r="AH859" t="str">
        <f t="shared" si="80"/>
        <v>36-45</v>
      </c>
      <c r="AI859" t="str">
        <f t="shared" si="81"/>
        <v>1. Under 3K</v>
      </c>
      <c r="AJ859" s="1" t="str">
        <f t="shared" si="82"/>
        <v>3. 6-10 yrs</v>
      </c>
      <c r="AK859" s="1" t="str">
        <f t="shared" si="83"/>
        <v>3. High</v>
      </c>
      <c r="AL859" s="1" t="str">
        <f t="shared" si="84"/>
        <v>3. Better</v>
      </c>
    </row>
    <row r="860" spans="1:38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f t="shared" si="79"/>
        <v>0</v>
      </c>
      <c r="AH860" t="str">
        <f t="shared" si="80"/>
        <v>46-55</v>
      </c>
      <c r="AI860" t="str">
        <f t="shared" si="81"/>
        <v>4. 10K+</v>
      </c>
      <c r="AJ860" s="1" t="str">
        <f t="shared" si="82"/>
        <v>3. 6-10 yrs</v>
      </c>
      <c r="AK860" s="1" t="str">
        <f t="shared" si="83"/>
        <v>3. High</v>
      </c>
      <c r="AL860" s="1" t="str">
        <f t="shared" si="84"/>
        <v>3. Better</v>
      </c>
    </row>
    <row r="861" spans="1:38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f t="shared" si="79"/>
        <v>0</v>
      </c>
      <c r="AH861" t="str">
        <f t="shared" si="80"/>
        <v>26-35</v>
      </c>
      <c r="AI861" t="str">
        <f t="shared" si="81"/>
        <v>1. Under 3K</v>
      </c>
      <c r="AJ861" s="1" t="str">
        <f t="shared" si="82"/>
        <v>2. 2-5 yrs</v>
      </c>
      <c r="AK861" s="1" t="str">
        <f t="shared" si="83"/>
        <v>4. Very High</v>
      </c>
      <c r="AL861" s="1" t="str">
        <f t="shared" si="84"/>
        <v>2. Good</v>
      </c>
    </row>
    <row r="862" spans="1:38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f t="shared" si="79"/>
        <v>1</v>
      </c>
      <c r="AH862" t="str">
        <f t="shared" si="80"/>
        <v>18-25</v>
      </c>
      <c r="AI862" t="str">
        <f t="shared" si="81"/>
        <v>1. Under 3K</v>
      </c>
      <c r="AJ862" s="1" t="str">
        <f t="shared" si="82"/>
        <v>1. 0-1 yrs</v>
      </c>
      <c r="AK862" s="1" t="str">
        <f t="shared" si="83"/>
        <v>4. Very High</v>
      </c>
      <c r="AL862" s="1" t="str">
        <f t="shared" si="84"/>
        <v>3. Better</v>
      </c>
    </row>
    <row r="863" spans="1:38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f t="shared" si="79"/>
        <v>0</v>
      </c>
      <c r="AH863" t="str">
        <f t="shared" si="80"/>
        <v>46-55</v>
      </c>
      <c r="AI863" t="str">
        <f t="shared" si="81"/>
        <v>4. 10K+</v>
      </c>
      <c r="AJ863" s="1" t="str">
        <f t="shared" si="82"/>
        <v>4. 10+ yrs</v>
      </c>
      <c r="AK863" s="1" t="str">
        <f t="shared" si="83"/>
        <v>1. Low</v>
      </c>
      <c r="AL863" s="1" t="str">
        <f t="shared" si="84"/>
        <v>3. Better</v>
      </c>
    </row>
    <row r="864" spans="1:38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f t="shared" si="79"/>
        <v>0</v>
      </c>
      <c r="AH864" t="str">
        <f t="shared" si="80"/>
        <v>36-45</v>
      </c>
      <c r="AI864" t="str">
        <f t="shared" si="81"/>
        <v>1. Under 3K</v>
      </c>
      <c r="AJ864" s="1" t="str">
        <f t="shared" si="82"/>
        <v>1. 0-1 yrs</v>
      </c>
      <c r="AK864" s="1" t="str">
        <f t="shared" si="83"/>
        <v>3. High</v>
      </c>
      <c r="AL864" s="1" t="str">
        <f t="shared" si="84"/>
        <v>3. Better</v>
      </c>
    </row>
    <row r="865" spans="1:38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f t="shared" si="79"/>
        <v>0</v>
      </c>
      <c r="AH865" t="str">
        <f t="shared" si="80"/>
        <v>26-35</v>
      </c>
      <c r="AI865" t="str">
        <f t="shared" si="81"/>
        <v>2. 3K-6K</v>
      </c>
      <c r="AJ865" s="1" t="str">
        <f t="shared" si="82"/>
        <v>2. 2-5 yrs</v>
      </c>
      <c r="AK865" s="1" t="str">
        <f t="shared" si="83"/>
        <v>3. High</v>
      </c>
      <c r="AL865" s="1" t="str">
        <f t="shared" si="84"/>
        <v>3. Better</v>
      </c>
    </row>
    <row r="866" spans="1:38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f t="shared" si="79"/>
        <v>1</v>
      </c>
      <c r="AH866" t="str">
        <f t="shared" si="80"/>
        <v>36-45</v>
      </c>
      <c r="AI866" t="str">
        <f t="shared" si="81"/>
        <v>1. Under 3K</v>
      </c>
      <c r="AJ866" s="1" t="str">
        <f t="shared" si="82"/>
        <v>1. 0-1 yrs</v>
      </c>
      <c r="AK866" s="1" t="str">
        <f t="shared" si="83"/>
        <v>1. Low</v>
      </c>
      <c r="AL866" s="1" t="str">
        <f t="shared" si="84"/>
        <v>1. Bad</v>
      </c>
    </row>
    <row r="867" spans="1:38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f t="shared" si="79"/>
        <v>0</v>
      </c>
      <c r="AH867" t="str">
        <f t="shared" si="80"/>
        <v>26-35</v>
      </c>
      <c r="AI867" t="str">
        <f t="shared" si="81"/>
        <v>2. 3K-6K</v>
      </c>
      <c r="AJ867" s="1" t="str">
        <f t="shared" si="82"/>
        <v>2. 2-5 yrs</v>
      </c>
      <c r="AK867" s="1" t="str">
        <f t="shared" si="83"/>
        <v>1. Low</v>
      </c>
      <c r="AL867" s="1" t="str">
        <f t="shared" si="84"/>
        <v>3. Better</v>
      </c>
    </row>
    <row r="868" spans="1:38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f t="shared" si="79"/>
        <v>0</v>
      </c>
      <c r="AH868" t="str">
        <f t="shared" si="80"/>
        <v>36-45</v>
      </c>
      <c r="AI868" t="str">
        <f t="shared" si="81"/>
        <v>2. 3K-6K</v>
      </c>
      <c r="AJ868" s="1" t="str">
        <f t="shared" si="82"/>
        <v>1. 0-1 yrs</v>
      </c>
      <c r="AK868" s="1" t="str">
        <f t="shared" si="83"/>
        <v>2. Medium</v>
      </c>
      <c r="AL868" s="1" t="str">
        <f t="shared" si="84"/>
        <v>3. Better</v>
      </c>
    </row>
    <row r="869" spans="1:38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f t="shared" si="79"/>
        <v>0</v>
      </c>
      <c r="AH869" t="str">
        <f t="shared" si="80"/>
        <v>46-55</v>
      </c>
      <c r="AI869" t="str">
        <f t="shared" si="81"/>
        <v>4. 10K+</v>
      </c>
      <c r="AJ869" s="1" t="str">
        <f t="shared" si="82"/>
        <v>2. 2-5 yrs</v>
      </c>
      <c r="AK869" s="1" t="str">
        <f t="shared" si="83"/>
        <v>1. Low</v>
      </c>
      <c r="AL869" s="1" t="str">
        <f t="shared" si="84"/>
        <v>3. Better</v>
      </c>
    </row>
    <row r="870" spans="1:38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f t="shared" si="79"/>
        <v>0</v>
      </c>
      <c r="AH870" t="str">
        <f t="shared" si="80"/>
        <v>26-35</v>
      </c>
      <c r="AI870" t="str">
        <f t="shared" si="81"/>
        <v>2. 3K-6K</v>
      </c>
      <c r="AJ870" s="1" t="str">
        <f t="shared" si="82"/>
        <v>3. 6-10 yrs</v>
      </c>
      <c r="AK870" s="1" t="str">
        <f t="shared" si="83"/>
        <v>1. Low</v>
      </c>
      <c r="AL870" s="1" t="str">
        <f t="shared" si="84"/>
        <v>3. Better</v>
      </c>
    </row>
    <row r="871" spans="1:38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f t="shared" si="79"/>
        <v>0</v>
      </c>
      <c r="AH871" t="str">
        <f t="shared" si="80"/>
        <v>46-55</v>
      </c>
      <c r="AI871" t="str">
        <f t="shared" si="81"/>
        <v>4. 10K+</v>
      </c>
      <c r="AJ871" s="1" t="str">
        <f t="shared" si="82"/>
        <v>2. 2-5 yrs</v>
      </c>
      <c r="AK871" s="1" t="str">
        <f t="shared" si="83"/>
        <v>2. Medium</v>
      </c>
      <c r="AL871" s="1" t="str">
        <f t="shared" si="84"/>
        <v>3. Better</v>
      </c>
    </row>
    <row r="872" spans="1:38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f t="shared" si="79"/>
        <v>0</v>
      </c>
      <c r="AH872" t="str">
        <f t="shared" si="80"/>
        <v>26-35</v>
      </c>
      <c r="AI872" t="str">
        <f t="shared" si="81"/>
        <v>3. 6K-10K</v>
      </c>
      <c r="AJ872" s="1" t="str">
        <f t="shared" si="82"/>
        <v>3. 6-10 yrs</v>
      </c>
      <c r="AK872" s="1" t="str">
        <f t="shared" si="83"/>
        <v>1. Low</v>
      </c>
      <c r="AL872" s="1" t="str">
        <f t="shared" si="84"/>
        <v>3. Better</v>
      </c>
    </row>
    <row r="873" spans="1:38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f t="shared" si="79"/>
        <v>1</v>
      </c>
      <c r="AH873" t="str">
        <f t="shared" si="80"/>
        <v>18-25</v>
      </c>
      <c r="AI873" t="str">
        <f t="shared" si="81"/>
        <v>1. Under 3K</v>
      </c>
      <c r="AJ873" s="1" t="str">
        <f t="shared" si="82"/>
        <v>1. 0-1 yrs</v>
      </c>
      <c r="AK873" s="1" t="str">
        <f t="shared" si="83"/>
        <v>2. Medium</v>
      </c>
      <c r="AL873" s="1" t="str">
        <f t="shared" si="84"/>
        <v>1. Bad</v>
      </c>
    </row>
    <row r="874" spans="1:38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f t="shared" si="79"/>
        <v>0</v>
      </c>
      <c r="AH874" t="str">
        <f t="shared" si="80"/>
        <v>26-35</v>
      </c>
      <c r="AI874" t="str">
        <f t="shared" si="81"/>
        <v>2. 3K-6K</v>
      </c>
      <c r="AJ874" s="1" t="str">
        <f t="shared" si="82"/>
        <v>3. 6-10 yrs</v>
      </c>
      <c r="AK874" s="1" t="str">
        <f t="shared" si="83"/>
        <v>3. High</v>
      </c>
      <c r="AL874" s="1" t="str">
        <f t="shared" si="84"/>
        <v>2. Good</v>
      </c>
    </row>
    <row r="875" spans="1:38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f t="shared" si="79"/>
        <v>0</v>
      </c>
      <c r="AH875" t="str">
        <f t="shared" si="80"/>
        <v>36-45</v>
      </c>
      <c r="AI875" t="str">
        <f t="shared" si="81"/>
        <v>1. Under 3K</v>
      </c>
      <c r="AJ875" s="1" t="str">
        <f t="shared" si="82"/>
        <v>3. 6-10 yrs</v>
      </c>
      <c r="AK875" s="1" t="str">
        <f t="shared" si="83"/>
        <v>3. High</v>
      </c>
      <c r="AL875" s="1" t="str">
        <f t="shared" si="84"/>
        <v>3. Better</v>
      </c>
    </row>
    <row r="876" spans="1:38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f t="shared" si="79"/>
        <v>0</v>
      </c>
      <c r="AH876" t="str">
        <f t="shared" si="80"/>
        <v>26-35</v>
      </c>
      <c r="AI876" t="str">
        <f t="shared" si="81"/>
        <v>2. 3K-6K</v>
      </c>
      <c r="AJ876" s="1" t="str">
        <f t="shared" si="82"/>
        <v>3. 6-10 yrs</v>
      </c>
      <c r="AK876" s="1" t="str">
        <f t="shared" si="83"/>
        <v>3. High</v>
      </c>
      <c r="AL876" s="1" t="str">
        <f t="shared" si="84"/>
        <v>2. Good</v>
      </c>
    </row>
    <row r="877" spans="1:38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f t="shared" si="79"/>
        <v>0</v>
      </c>
      <c r="AH877" t="str">
        <f t="shared" si="80"/>
        <v>36-45</v>
      </c>
      <c r="AI877" t="str">
        <f t="shared" si="81"/>
        <v>2. 3K-6K</v>
      </c>
      <c r="AJ877" s="1" t="str">
        <f t="shared" si="82"/>
        <v>4. 10+ yrs</v>
      </c>
      <c r="AK877" s="1" t="str">
        <f t="shared" si="83"/>
        <v>4. Very High</v>
      </c>
      <c r="AL877" s="1" t="str">
        <f t="shared" si="84"/>
        <v>3. Better</v>
      </c>
    </row>
    <row r="878" spans="1:38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f t="shared" si="79"/>
        <v>0</v>
      </c>
      <c r="AH878" t="str">
        <f t="shared" si="80"/>
        <v>18-25</v>
      </c>
      <c r="AI878" t="str">
        <f t="shared" si="81"/>
        <v>1. Under 3K</v>
      </c>
      <c r="AJ878" s="1" t="str">
        <f t="shared" si="82"/>
        <v>2. 2-5 yrs</v>
      </c>
      <c r="AK878" s="1" t="str">
        <f t="shared" si="83"/>
        <v>4. Very High</v>
      </c>
      <c r="AL878" s="1" t="str">
        <f t="shared" si="84"/>
        <v>3. Better</v>
      </c>
    </row>
    <row r="879" spans="1:38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f t="shared" si="79"/>
        <v>0</v>
      </c>
      <c r="AH879" t="str">
        <f t="shared" si="80"/>
        <v>46-55</v>
      </c>
      <c r="AI879" t="str">
        <f t="shared" si="81"/>
        <v>3. 6K-10K</v>
      </c>
      <c r="AJ879" s="1" t="str">
        <f t="shared" si="82"/>
        <v>3. 6-10 yrs</v>
      </c>
      <c r="AK879" s="1" t="str">
        <f t="shared" si="83"/>
        <v>4. Very High</v>
      </c>
      <c r="AL879" s="1" t="str">
        <f t="shared" si="84"/>
        <v>2. Good</v>
      </c>
    </row>
    <row r="880" spans="1:38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f t="shared" si="79"/>
        <v>0</v>
      </c>
      <c r="AH880" t="str">
        <f t="shared" si="80"/>
        <v>36-45</v>
      </c>
      <c r="AI880" t="str">
        <f t="shared" si="81"/>
        <v>3. 6K-10K</v>
      </c>
      <c r="AJ880" s="1" t="str">
        <f t="shared" si="82"/>
        <v>2. 2-5 yrs</v>
      </c>
      <c r="AK880" s="1" t="str">
        <f t="shared" si="83"/>
        <v>1. Low</v>
      </c>
      <c r="AL880" s="1" t="str">
        <f t="shared" si="84"/>
        <v>4. Best</v>
      </c>
    </row>
    <row r="881" spans="1:38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f t="shared" si="79"/>
        <v>0</v>
      </c>
      <c r="AH881" t="str">
        <f t="shared" si="80"/>
        <v>56+</v>
      </c>
      <c r="AI881" t="str">
        <f t="shared" si="81"/>
        <v>2. 3K-6K</v>
      </c>
      <c r="AJ881" s="1" t="str">
        <f t="shared" si="82"/>
        <v>4. 10+ yrs</v>
      </c>
      <c r="AK881" s="1" t="str">
        <f t="shared" si="83"/>
        <v>4. Very High</v>
      </c>
      <c r="AL881" s="1" t="str">
        <f t="shared" si="84"/>
        <v>3. Better</v>
      </c>
    </row>
    <row r="882" spans="1:38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f t="shared" si="79"/>
        <v>0</v>
      </c>
      <c r="AH882" t="str">
        <f t="shared" si="80"/>
        <v>26-35</v>
      </c>
      <c r="AI882" t="str">
        <f t="shared" si="81"/>
        <v>1. Under 3K</v>
      </c>
      <c r="AJ882" s="1" t="str">
        <f t="shared" si="82"/>
        <v>2. 2-5 yrs</v>
      </c>
      <c r="AK882" s="1" t="str">
        <f t="shared" si="83"/>
        <v>2. Medium</v>
      </c>
      <c r="AL882" s="1" t="str">
        <f t="shared" si="84"/>
        <v>3. Better</v>
      </c>
    </row>
    <row r="883" spans="1:38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f t="shared" si="79"/>
        <v>0</v>
      </c>
      <c r="AH883" t="str">
        <f t="shared" si="80"/>
        <v>26-35</v>
      </c>
      <c r="AI883" t="str">
        <f t="shared" si="81"/>
        <v>2. 3K-6K</v>
      </c>
      <c r="AJ883" s="1" t="str">
        <f t="shared" si="82"/>
        <v>3. 6-10 yrs</v>
      </c>
      <c r="AK883" s="1" t="str">
        <f t="shared" si="83"/>
        <v>3. High</v>
      </c>
      <c r="AL883" s="1" t="str">
        <f t="shared" si="84"/>
        <v>3. Better</v>
      </c>
    </row>
    <row r="884" spans="1:38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f t="shared" si="79"/>
        <v>0</v>
      </c>
      <c r="AH884" t="str">
        <f t="shared" si="80"/>
        <v>36-45</v>
      </c>
      <c r="AI884" t="str">
        <f t="shared" si="81"/>
        <v>4. 10K+</v>
      </c>
      <c r="AJ884" s="1" t="str">
        <f t="shared" si="82"/>
        <v>3. 6-10 yrs</v>
      </c>
      <c r="AK884" s="1" t="str">
        <f t="shared" si="83"/>
        <v>1. Low</v>
      </c>
      <c r="AL884" s="1" t="str">
        <f t="shared" si="84"/>
        <v>3. Better</v>
      </c>
    </row>
    <row r="885" spans="1:38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f t="shared" si="79"/>
        <v>0</v>
      </c>
      <c r="AH885" t="str">
        <f t="shared" si="80"/>
        <v>26-35</v>
      </c>
      <c r="AI885" t="str">
        <f t="shared" si="81"/>
        <v>1. Under 3K</v>
      </c>
      <c r="AJ885" s="1" t="str">
        <f t="shared" si="82"/>
        <v>4. 10+ yrs</v>
      </c>
      <c r="AK885" s="1" t="str">
        <f t="shared" si="83"/>
        <v>4. Very High</v>
      </c>
      <c r="AL885" s="1" t="str">
        <f t="shared" si="84"/>
        <v>3. Better</v>
      </c>
    </row>
    <row r="886" spans="1:38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f t="shared" si="79"/>
        <v>0</v>
      </c>
      <c r="AH886" t="str">
        <f t="shared" si="80"/>
        <v>36-45</v>
      </c>
      <c r="AI886" t="str">
        <f t="shared" si="81"/>
        <v>3. 6K-10K</v>
      </c>
      <c r="AJ886" s="1" t="str">
        <f t="shared" si="82"/>
        <v>2. 2-5 yrs</v>
      </c>
      <c r="AK886" s="1" t="str">
        <f t="shared" si="83"/>
        <v>2. Medium</v>
      </c>
      <c r="AL886" s="1" t="str">
        <f t="shared" si="84"/>
        <v>4. Best</v>
      </c>
    </row>
    <row r="887" spans="1:38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f t="shared" si="79"/>
        <v>0</v>
      </c>
      <c r="AH887" t="str">
        <f t="shared" si="80"/>
        <v>18-25</v>
      </c>
      <c r="AI887" t="str">
        <f t="shared" si="81"/>
        <v>2. 3K-6K</v>
      </c>
      <c r="AJ887" s="1" t="str">
        <f t="shared" si="82"/>
        <v>2. 2-5 yrs</v>
      </c>
      <c r="AK887" s="1" t="str">
        <f t="shared" si="83"/>
        <v>4. Very High</v>
      </c>
      <c r="AL887" s="1" t="str">
        <f t="shared" si="84"/>
        <v>3. Better</v>
      </c>
    </row>
    <row r="888" spans="1:38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f t="shared" si="79"/>
        <v>0</v>
      </c>
      <c r="AH888" t="str">
        <f t="shared" si="80"/>
        <v>26-35</v>
      </c>
      <c r="AI888" t="str">
        <f t="shared" si="81"/>
        <v>2. 3K-6K</v>
      </c>
      <c r="AJ888" s="1" t="str">
        <f t="shared" si="82"/>
        <v>4. 10+ yrs</v>
      </c>
      <c r="AK888" s="1" t="str">
        <f t="shared" si="83"/>
        <v>2. Medium</v>
      </c>
      <c r="AL888" s="1" t="str">
        <f t="shared" si="84"/>
        <v>3. Better</v>
      </c>
    </row>
    <row r="889" spans="1:38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f t="shared" si="79"/>
        <v>0</v>
      </c>
      <c r="AH889" t="str">
        <f t="shared" si="80"/>
        <v>36-45</v>
      </c>
      <c r="AI889" t="str">
        <f t="shared" si="81"/>
        <v>4. 10K+</v>
      </c>
      <c r="AJ889" s="1" t="str">
        <f t="shared" si="82"/>
        <v>1. 0-1 yrs</v>
      </c>
      <c r="AK889" s="1" t="str">
        <f t="shared" si="83"/>
        <v>1. Low</v>
      </c>
      <c r="AL889" s="1" t="str">
        <f t="shared" si="84"/>
        <v>3. Better</v>
      </c>
    </row>
    <row r="890" spans="1:38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f t="shared" si="79"/>
        <v>0</v>
      </c>
      <c r="AH890" t="str">
        <f t="shared" si="80"/>
        <v>26-35</v>
      </c>
      <c r="AI890" t="str">
        <f t="shared" si="81"/>
        <v>4. 10K+</v>
      </c>
      <c r="AJ890" s="1" t="str">
        <f t="shared" si="82"/>
        <v>4. 10+ yrs</v>
      </c>
      <c r="AK890" s="1" t="str">
        <f t="shared" si="83"/>
        <v>4. Very High</v>
      </c>
      <c r="AL890" s="1" t="str">
        <f t="shared" si="84"/>
        <v>2. Good</v>
      </c>
    </row>
    <row r="891" spans="1:38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f t="shared" si="79"/>
        <v>0</v>
      </c>
      <c r="AH891" t="str">
        <f t="shared" si="80"/>
        <v>26-35</v>
      </c>
      <c r="AI891" t="str">
        <f t="shared" si="81"/>
        <v>1. Under 3K</v>
      </c>
      <c r="AJ891" s="1" t="str">
        <f t="shared" si="82"/>
        <v>3. 6-10 yrs</v>
      </c>
      <c r="AK891" s="1" t="str">
        <f t="shared" si="83"/>
        <v>1. Low</v>
      </c>
      <c r="AL891" s="1" t="str">
        <f t="shared" si="84"/>
        <v>2. Good</v>
      </c>
    </row>
    <row r="892" spans="1:38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f t="shared" si="79"/>
        <v>0</v>
      </c>
      <c r="AH892" t="str">
        <f t="shared" si="80"/>
        <v>46-55</v>
      </c>
      <c r="AI892" t="str">
        <f t="shared" si="81"/>
        <v>4. 10K+</v>
      </c>
      <c r="AJ892" s="1" t="str">
        <f t="shared" si="82"/>
        <v>2. 2-5 yrs</v>
      </c>
      <c r="AK892" s="1" t="str">
        <f t="shared" si="83"/>
        <v>3. High</v>
      </c>
      <c r="AL892" s="1" t="str">
        <f t="shared" si="84"/>
        <v>1. Bad</v>
      </c>
    </row>
    <row r="893" spans="1:38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f t="shared" si="79"/>
        <v>0</v>
      </c>
      <c r="AH893" t="str">
        <f t="shared" si="80"/>
        <v>36-45</v>
      </c>
      <c r="AI893" t="str">
        <f t="shared" si="81"/>
        <v>1. Under 3K</v>
      </c>
      <c r="AJ893" s="1" t="str">
        <f t="shared" si="82"/>
        <v>3. 6-10 yrs</v>
      </c>
      <c r="AK893" s="1" t="str">
        <f t="shared" si="83"/>
        <v>4. Very High</v>
      </c>
      <c r="AL893" s="1" t="str">
        <f t="shared" si="84"/>
        <v>3. Better</v>
      </c>
    </row>
    <row r="894" spans="1:38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f t="shared" si="79"/>
        <v>1</v>
      </c>
      <c r="AH894" t="str">
        <f t="shared" si="80"/>
        <v>18-25</v>
      </c>
      <c r="AI894" t="str">
        <f t="shared" si="81"/>
        <v>1. Under 3K</v>
      </c>
      <c r="AJ894" s="1" t="str">
        <f t="shared" si="82"/>
        <v>1. 0-1 yrs</v>
      </c>
      <c r="AK894" s="1" t="str">
        <f t="shared" si="83"/>
        <v>2. Medium</v>
      </c>
      <c r="AL894" s="1" t="str">
        <f t="shared" si="84"/>
        <v>4. Best</v>
      </c>
    </row>
    <row r="895" spans="1:38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f t="shared" si="79"/>
        <v>0</v>
      </c>
      <c r="AH895" t="str">
        <f t="shared" si="80"/>
        <v>26-35</v>
      </c>
      <c r="AI895" t="str">
        <f t="shared" si="81"/>
        <v>2. 3K-6K</v>
      </c>
      <c r="AJ895" s="1" t="str">
        <f t="shared" si="82"/>
        <v>2. 2-5 yrs</v>
      </c>
      <c r="AK895" s="1" t="str">
        <f t="shared" si="83"/>
        <v>4. Very High</v>
      </c>
      <c r="AL895" s="1" t="str">
        <f t="shared" si="84"/>
        <v>3. Better</v>
      </c>
    </row>
    <row r="896" spans="1:38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f t="shared" si="79"/>
        <v>0</v>
      </c>
      <c r="AH896" t="str">
        <f t="shared" si="80"/>
        <v>46-55</v>
      </c>
      <c r="AI896" t="str">
        <f t="shared" si="81"/>
        <v>4. 10K+</v>
      </c>
      <c r="AJ896" s="1" t="str">
        <f t="shared" si="82"/>
        <v>3. 6-10 yrs</v>
      </c>
      <c r="AK896" s="1" t="str">
        <f t="shared" si="83"/>
        <v>4. Very High</v>
      </c>
      <c r="AL896" s="1" t="str">
        <f t="shared" si="84"/>
        <v>3. Better</v>
      </c>
    </row>
    <row r="897" spans="1:38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f t="shared" si="79"/>
        <v>0</v>
      </c>
      <c r="AH897" t="str">
        <f t="shared" si="80"/>
        <v>26-35</v>
      </c>
      <c r="AI897" t="str">
        <f t="shared" si="81"/>
        <v>3. 6K-10K</v>
      </c>
      <c r="AJ897" s="1" t="str">
        <f t="shared" si="82"/>
        <v>3. 6-10 yrs</v>
      </c>
      <c r="AK897" s="1" t="str">
        <f t="shared" si="83"/>
        <v>1. Low</v>
      </c>
      <c r="AL897" s="1" t="str">
        <f t="shared" si="84"/>
        <v>2. Good</v>
      </c>
    </row>
    <row r="898" spans="1:38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f t="shared" ref="AG898:AG961" si="85">IF(B898="Yes",1,0)</f>
        <v>0</v>
      </c>
      <c r="AH898" t="str">
        <f t="shared" ref="AH898:AH961" si="86">IF(A898&lt;26,"18-25",IF(A898&lt;36,"26-35",IF(A898&lt;46,"36-45",IF(A898&lt;56,"46-55","56+"))))</f>
        <v>26-35</v>
      </c>
      <c r="AI898" t="str">
        <f t="shared" ref="AI898:AI961" si="87">IF(R898&lt;3000,"1. Under 3K",IF(R898&lt;6000,"2. 3K-6K",IF(R898&lt;10000,"3. 6K-10K","4. 10K+")))</f>
        <v>3. 6K-10K</v>
      </c>
      <c r="AJ898" s="1" t="str">
        <f t="shared" ref="AJ898:AJ961" si="88">IF(AC898&lt;2,"1. 0-1 yrs",IF(AC898&lt;6,"2. 2-5 yrs",IF(AC898&lt;11,"3. 6-10 yrs","4. 10+ yrs")))</f>
        <v>3. 6-10 yrs</v>
      </c>
      <c r="AK898" s="1" t="str">
        <f t="shared" ref="AK898:AK961" si="89">CHOOSE(P898,"1. Low","2. Medium","3. High","4. Very High")</f>
        <v>1. Low</v>
      </c>
      <c r="AL898" s="1" t="str">
        <f t="shared" ref="AL898:AL961" si="90">CHOOSE(AB898,"1. Bad","2. Good","3. Better","4. Best")</f>
        <v>3. Better</v>
      </c>
    </row>
    <row r="899" spans="1:38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f t="shared" si="85"/>
        <v>0</v>
      </c>
      <c r="AH899" t="str">
        <f t="shared" si="86"/>
        <v>56+</v>
      </c>
      <c r="AI899" t="str">
        <f t="shared" si="87"/>
        <v>2. 3K-6K</v>
      </c>
      <c r="AJ899" s="1" t="str">
        <f t="shared" si="88"/>
        <v>3. 6-10 yrs</v>
      </c>
      <c r="AK899" s="1" t="str">
        <f t="shared" si="89"/>
        <v>4. Very High</v>
      </c>
      <c r="AL899" s="1" t="str">
        <f t="shared" si="90"/>
        <v>3. Better</v>
      </c>
    </row>
    <row r="900" spans="1:38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f t="shared" si="85"/>
        <v>0</v>
      </c>
      <c r="AH900" t="str">
        <f t="shared" si="86"/>
        <v>36-45</v>
      </c>
      <c r="AI900" t="str">
        <f t="shared" si="87"/>
        <v>4. 10K+</v>
      </c>
      <c r="AJ900" s="1" t="str">
        <f t="shared" si="88"/>
        <v>3. 6-10 yrs</v>
      </c>
      <c r="AK900" s="1" t="str">
        <f t="shared" si="89"/>
        <v>4. Very High</v>
      </c>
      <c r="AL900" s="1" t="str">
        <f t="shared" si="90"/>
        <v>3. Better</v>
      </c>
    </row>
    <row r="901" spans="1:38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f t="shared" si="85"/>
        <v>0</v>
      </c>
      <c r="AH901" t="str">
        <f t="shared" si="86"/>
        <v>46-55</v>
      </c>
      <c r="AI901" t="str">
        <f t="shared" si="87"/>
        <v>4. 10K+</v>
      </c>
      <c r="AJ901" s="1" t="str">
        <f t="shared" si="88"/>
        <v>1. 0-1 yrs</v>
      </c>
      <c r="AK901" s="1" t="str">
        <f t="shared" si="89"/>
        <v>3. High</v>
      </c>
      <c r="AL901" s="1" t="str">
        <f t="shared" si="90"/>
        <v>4. Best</v>
      </c>
    </row>
    <row r="902" spans="1:38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f t="shared" si="85"/>
        <v>0</v>
      </c>
      <c r="AH902" t="str">
        <f t="shared" si="86"/>
        <v>36-45</v>
      </c>
      <c r="AI902" t="str">
        <f t="shared" si="87"/>
        <v>2. 3K-6K</v>
      </c>
      <c r="AJ902" s="1" t="str">
        <f t="shared" si="88"/>
        <v>4. 10+ yrs</v>
      </c>
      <c r="AK902" s="1" t="str">
        <f t="shared" si="89"/>
        <v>2. Medium</v>
      </c>
      <c r="AL902" s="1" t="str">
        <f t="shared" si="90"/>
        <v>2. Good</v>
      </c>
    </row>
    <row r="903" spans="1:38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f t="shared" si="85"/>
        <v>0</v>
      </c>
      <c r="AH903" t="str">
        <f t="shared" si="86"/>
        <v>46-55</v>
      </c>
      <c r="AI903" t="str">
        <f t="shared" si="87"/>
        <v>1. Under 3K</v>
      </c>
      <c r="AJ903" s="1" t="str">
        <f t="shared" si="88"/>
        <v>1. 0-1 yrs</v>
      </c>
      <c r="AK903" s="1" t="str">
        <f t="shared" si="89"/>
        <v>2. Medium</v>
      </c>
      <c r="AL903" s="1" t="str">
        <f t="shared" si="90"/>
        <v>2. Good</v>
      </c>
    </row>
    <row r="904" spans="1:38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f t="shared" si="85"/>
        <v>0</v>
      </c>
      <c r="AH904" t="str">
        <f t="shared" si="86"/>
        <v>26-35</v>
      </c>
      <c r="AI904" t="str">
        <f t="shared" si="87"/>
        <v>1. Under 3K</v>
      </c>
      <c r="AJ904" s="1" t="str">
        <f t="shared" si="88"/>
        <v>2. 2-5 yrs</v>
      </c>
      <c r="AK904" s="1" t="str">
        <f t="shared" si="89"/>
        <v>3. High</v>
      </c>
      <c r="AL904" s="1" t="str">
        <f t="shared" si="90"/>
        <v>3. Better</v>
      </c>
    </row>
    <row r="905" spans="1:38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f t="shared" si="85"/>
        <v>0</v>
      </c>
      <c r="AH905" t="str">
        <f t="shared" si="86"/>
        <v>26-35</v>
      </c>
      <c r="AI905" t="str">
        <f t="shared" si="87"/>
        <v>3. 6K-10K</v>
      </c>
      <c r="AJ905" s="1" t="str">
        <f t="shared" si="88"/>
        <v>3. 6-10 yrs</v>
      </c>
      <c r="AK905" s="1" t="str">
        <f t="shared" si="89"/>
        <v>4. Very High</v>
      </c>
      <c r="AL905" s="1" t="str">
        <f t="shared" si="90"/>
        <v>3. Better</v>
      </c>
    </row>
    <row r="906" spans="1:38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f t="shared" si="85"/>
        <v>0</v>
      </c>
      <c r="AH906" t="str">
        <f t="shared" si="86"/>
        <v>46-55</v>
      </c>
      <c r="AI906" t="str">
        <f t="shared" si="87"/>
        <v>4. 10K+</v>
      </c>
      <c r="AJ906" s="1" t="str">
        <f t="shared" si="88"/>
        <v>1. 0-1 yrs</v>
      </c>
      <c r="AK906" s="1" t="str">
        <f t="shared" si="89"/>
        <v>4. Very High</v>
      </c>
      <c r="AL906" s="1" t="str">
        <f t="shared" si="90"/>
        <v>4. Best</v>
      </c>
    </row>
    <row r="907" spans="1:38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f t="shared" si="85"/>
        <v>0</v>
      </c>
      <c r="AH907" t="str">
        <f t="shared" si="86"/>
        <v>26-35</v>
      </c>
      <c r="AI907" t="str">
        <f t="shared" si="87"/>
        <v>4. 10K+</v>
      </c>
      <c r="AJ907" s="1" t="str">
        <f t="shared" si="88"/>
        <v>3. 6-10 yrs</v>
      </c>
      <c r="AK907" s="1" t="str">
        <f t="shared" si="89"/>
        <v>4. Very High</v>
      </c>
      <c r="AL907" s="1" t="str">
        <f t="shared" si="90"/>
        <v>2. Good</v>
      </c>
    </row>
    <row r="908" spans="1:38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f t="shared" si="85"/>
        <v>0</v>
      </c>
      <c r="AH908" t="str">
        <f t="shared" si="86"/>
        <v>26-35</v>
      </c>
      <c r="AI908" t="str">
        <f t="shared" si="87"/>
        <v>1. Under 3K</v>
      </c>
      <c r="AJ908" s="1" t="str">
        <f t="shared" si="88"/>
        <v>1. 0-1 yrs</v>
      </c>
      <c r="AK908" s="1" t="str">
        <f t="shared" si="89"/>
        <v>3. High</v>
      </c>
      <c r="AL908" s="1" t="str">
        <f t="shared" si="90"/>
        <v>2. Good</v>
      </c>
    </row>
    <row r="909" spans="1:38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f t="shared" si="85"/>
        <v>0</v>
      </c>
      <c r="AH909" t="str">
        <f t="shared" si="86"/>
        <v>36-45</v>
      </c>
      <c r="AI909" t="str">
        <f t="shared" si="87"/>
        <v>4. 10K+</v>
      </c>
      <c r="AJ909" s="1" t="str">
        <f t="shared" si="88"/>
        <v>4. 10+ yrs</v>
      </c>
      <c r="AK909" s="1" t="str">
        <f t="shared" si="89"/>
        <v>2. Medium</v>
      </c>
      <c r="AL909" s="1" t="str">
        <f t="shared" si="90"/>
        <v>3. Better</v>
      </c>
    </row>
    <row r="910" spans="1:38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f t="shared" si="85"/>
        <v>0</v>
      </c>
      <c r="AH910" t="str">
        <f t="shared" si="86"/>
        <v>26-35</v>
      </c>
      <c r="AI910" t="str">
        <f t="shared" si="87"/>
        <v>3. 6K-10K</v>
      </c>
      <c r="AJ910" s="1" t="str">
        <f t="shared" si="88"/>
        <v>3. 6-10 yrs</v>
      </c>
      <c r="AK910" s="1" t="str">
        <f t="shared" si="89"/>
        <v>3. High</v>
      </c>
      <c r="AL910" s="1" t="str">
        <f t="shared" si="90"/>
        <v>3. Better</v>
      </c>
    </row>
    <row r="911" spans="1:38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f t="shared" si="85"/>
        <v>0</v>
      </c>
      <c r="AH911" t="str">
        <f t="shared" si="86"/>
        <v>18-25</v>
      </c>
      <c r="AI911" t="str">
        <f t="shared" si="87"/>
        <v>1. Under 3K</v>
      </c>
      <c r="AJ911" s="1" t="str">
        <f t="shared" si="88"/>
        <v>1. 0-1 yrs</v>
      </c>
      <c r="AK911" s="1" t="str">
        <f t="shared" si="89"/>
        <v>4. Very High</v>
      </c>
      <c r="AL911" s="1" t="str">
        <f t="shared" si="90"/>
        <v>3. Better</v>
      </c>
    </row>
    <row r="912" spans="1:38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f t="shared" si="85"/>
        <v>0</v>
      </c>
      <c r="AH912" t="str">
        <f t="shared" si="86"/>
        <v>18-25</v>
      </c>
      <c r="AI912" t="str">
        <f t="shared" si="87"/>
        <v>1. Under 3K</v>
      </c>
      <c r="AJ912" s="1" t="str">
        <f t="shared" si="88"/>
        <v>1. 0-1 yrs</v>
      </c>
      <c r="AK912" s="1" t="str">
        <f t="shared" si="89"/>
        <v>3. High</v>
      </c>
      <c r="AL912" s="1" t="str">
        <f t="shared" si="90"/>
        <v>3. Better</v>
      </c>
    </row>
    <row r="913" spans="1:38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f t="shared" si="85"/>
        <v>1</v>
      </c>
      <c r="AH913" t="str">
        <f t="shared" si="86"/>
        <v>18-25</v>
      </c>
      <c r="AI913" t="str">
        <f t="shared" si="87"/>
        <v>1. Under 3K</v>
      </c>
      <c r="AJ913" s="1" t="str">
        <f t="shared" si="88"/>
        <v>1. 0-1 yrs</v>
      </c>
      <c r="AK913" s="1" t="str">
        <f t="shared" si="89"/>
        <v>4. Very High</v>
      </c>
      <c r="AL913" s="1" t="str">
        <f t="shared" si="90"/>
        <v>3. Better</v>
      </c>
    </row>
    <row r="914" spans="1:38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f t="shared" si="85"/>
        <v>0</v>
      </c>
      <c r="AH914" t="str">
        <f t="shared" si="86"/>
        <v>26-35</v>
      </c>
      <c r="AI914" t="str">
        <f t="shared" si="87"/>
        <v>1. Under 3K</v>
      </c>
      <c r="AJ914" s="1" t="str">
        <f t="shared" si="88"/>
        <v>3. 6-10 yrs</v>
      </c>
      <c r="AK914" s="1" t="str">
        <f t="shared" si="89"/>
        <v>4. Very High</v>
      </c>
      <c r="AL914" s="1" t="str">
        <f t="shared" si="90"/>
        <v>2. Good</v>
      </c>
    </row>
    <row r="915" spans="1:38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f t="shared" si="85"/>
        <v>1</v>
      </c>
      <c r="AH915" t="str">
        <f t="shared" si="86"/>
        <v>36-45</v>
      </c>
      <c r="AI915" t="str">
        <f t="shared" si="87"/>
        <v>4. 10K+</v>
      </c>
      <c r="AJ915" s="1" t="str">
        <f t="shared" si="88"/>
        <v>4. 10+ yrs</v>
      </c>
      <c r="AK915" s="1" t="str">
        <f t="shared" si="89"/>
        <v>2. Medium</v>
      </c>
      <c r="AL915" s="1" t="str">
        <f t="shared" si="90"/>
        <v>3. Better</v>
      </c>
    </row>
    <row r="916" spans="1:38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f t="shared" si="85"/>
        <v>0</v>
      </c>
      <c r="AH916" t="str">
        <f t="shared" si="86"/>
        <v>46-55</v>
      </c>
      <c r="AI916" t="str">
        <f t="shared" si="87"/>
        <v>4. 10K+</v>
      </c>
      <c r="AJ916" s="1" t="str">
        <f t="shared" si="88"/>
        <v>4. 10+ yrs</v>
      </c>
      <c r="AK916" s="1" t="str">
        <f t="shared" si="89"/>
        <v>2. Medium</v>
      </c>
      <c r="AL916" s="1" t="str">
        <f t="shared" si="90"/>
        <v>3. Better</v>
      </c>
    </row>
    <row r="917" spans="1:38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f t="shared" si="85"/>
        <v>1</v>
      </c>
      <c r="AH917" t="str">
        <f t="shared" si="86"/>
        <v>18-25</v>
      </c>
      <c r="AI917" t="str">
        <f t="shared" si="87"/>
        <v>1. Under 3K</v>
      </c>
      <c r="AJ917" s="1" t="str">
        <f t="shared" si="88"/>
        <v>2. 2-5 yrs</v>
      </c>
      <c r="AK917" s="1" t="str">
        <f t="shared" si="89"/>
        <v>3. High</v>
      </c>
      <c r="AL917" s="1" t="str">
        <f t="shared" si="90"/>
        <v>1. Bad</v>
      </c>
    </row>
    <row r="918" spans="1:38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f t="shared" si="85"/>
        <v>0</v>
      </c>
      <c r="AH918" t="str">
        <f t="shared" si="86"/>
        <v>46-55</v>
      </c>
      <c r="AI918" t="str">
        <f t="shared" si="87"/>
        <v>4. 10K+</v>
      </c>
      <c r="AJ918" s="1" t="str">
        <f t="shared" si="88"/>
        <v>4. 10+ yrs</v>
      </c>
      <c r="AK918" s="1" t="str">
        <f t="shared" si="89"/>
        <v>2. Medium</v>
      </c>
      <c r="AL918" s="1" t="str">
        <f t="shared" si="90"/>
        <v>3. Better</v>
      </c>
    </row>
    <row r="919" spans="1:38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f t="shared" si="85"/>
        <v>0</v>
      </c>
      <c r="AH919" t="str">
        <f t="shared" si="86"/>
        <v>26-35</v>
      </c>
      <c r="AI919" t="str">
        <f t="shared" si="87"/>
        <v>2. 3K-6K</v>
      </c>
      <c r="AJ919" s="1" t="str">
        <f t="shared" si="88"/>
        <v>2. 2-5 yrs</v>
      </c>
      <c r="AK919" s="1" t="str">
        <f t="shared" si="89"/>
        <v>1. Low</v>
      </c>
      <c r="AL919" s="1" t="str">
        <f t="shared" si="90"/>
        <v>3. Better</v>
      </c>
    </row>
    <row r="920" spans="1:38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f t="shared" si="85"/>
        <v>0</v>
      </c>
      <c r="AH920" t="str">
        <f t="shared" si="86"/>
        <v>46-55</v>
      </c>
      <c r="AI920" t="str">
        <f t="shared" si="87"/>
        <v>4. 10K+</v>
      </c>
      <c r="AJ920" s="1" t="str">
        <f t="shared" si="88"/>
        <v>4. 10+ yrs</v>
      </c>
      <c r="AK920" s="1" t="str">
        <f t="shared" si="89"/>
        <v>2. Medium</v>
      </c>
      <c r="AL920" s="1" t="str">
        <f t="shared" si="90"/>
        <v>2. Good</v>
      </c>
    </row>
    <row r="921" spans="1:38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f t="shared" si="85"/>
        <v>0</v>
      </c>
      <c r="AH921" t="str">
        <f t="shared" si="86"/>
        <v>56+</v>
      </c>
      <c r="AI921" t="str">
        <f t="shared" si="87"/>
        <v>4. 10K+</v>
      </c>
      <c r="AJ921" s="1" t="str">
        <f t="shared" si="88"/>
        <v>3. 6-10 yrs</v>
      </c>
      <c r="AK921" s="1" t="str">
        <f t="shared" si="89"/>
        <v>4. Very High</v>
      </c>
      <c r="AL921" s="1" t="str">
        <f t="shared" si="90"/>
        <v>2. Good</v>
      </c>
    </row>
    <row r="922" spans="1:38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f t="shared" si="85"/>
        <v>0</v>
      </c>
      <c r="AH922" t="str">
        <f t="shared" si="86"/>
        <v>26-35</v>
      </c>
      <c r="AI922" t="str">
        <f t="shared" si="87"/>
        <v>2. 3K-6K</v>
      </c>
      <c r="AJ922" s="1" t="str">
        <f t="shared" si="88"/>
        <v>4. 10+ yrs</v>
      </c>
      <c r="AK922" s="1" t="str">
        <f t="shared" si="89"/>
        <v>2. Medium</v>
      </c>
      <c r="AL922" s="1" t="str">
        <f t="shared" si="90"/>
        <v>4. Best</v>
      </c>
    </row>
    <row r="923" spans="1:38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f t="shared" si="85"/>
        <v>0</v>
      </c>
      <c r="AH923" t="str">
        <f t="shared" si="86"/>
        <v>26-35</v>
      </c>
      <c r="AI923" t="str">
        <f t="shared" si="87"/>
        <v>1. Under 3K</v>
      </c>
      <c r="AJ923" s="1" t="str">
        <f t="shared" si="88"/>
        <v>2. 2-5 yrs</v>
      </c>
      <c r="AK923" s="1" t="str">
        <f t="shared" si="89"/>
        <v>3. High</v>
      </c>
      <c r="AL923" s="1" t="str">
        <f t="shared" si="90"/>
        <v>2. Good</v>
      </c>
    </row>
    <row r="924" spans="1:38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f t="shared" si="85"/>
        <v>0</v>
      </c>
      <c r="AH924" t="str">
        <f t="shared" si="86"/>
        <v>36-45</v>
      </c>
      <c r="AI924" t="str">
        <f t="shared" si="87"/>
        <v>4. 10K+</v>
      </c>
      <c r="AJ924" s="1" t="str">
        <f t="shared" si="88"/>
        <v>4. 10+ yrs</v>
      </c>
      <c r="AK924" s="1" t="str">
        <f t="shared" si="89"/>
        <v>1. Low</v>
      </c>
      <c r="AL924" s="1" t="str">
        <f t="shared" si="90"/>
        <v>2. Good</v>
      </c>
    </row>
    <row r="925" spans="1:38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f t="shared" si="85"/>
        <v>0</v>
      </c>
      <c r="AH925" t="str">
        <f t="shared" si="86"/>
        <v>26-35</v>
      </c>
      <c r="AI925" t="str">
        <f t="shared" si="87"/>
        <v>2. 3K-6K</v>
      </c>
      <c r="AJ925" s="1" t="str">
        <f t="shared" si="88"/>
        <v>3. 6-10 yrs</v>
      </c>
      <c r="AK925" s="1" t="str">
        <f t="shared" si="89"/>
        <v>2. Medium</v>
      </c>
      <c r="AL925" s="1" t="str">
        <f t="shared" si="90"/>
        <v>4. Best</v>
      </c>
    </row>
    <row r="926" spans="1:38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f t="shared" si="85"/>
        <v>0</v>
      </c>
      <c r="AH926" t="str">
        <f t="shared" si="86"/>
        <v>26-35</v>
      </c>
      <c r="AI926" t="str">
        <f t="shared" si="87"/>
        <v>2. 3K-6K</v>
      </c>
      <c r="AJ926" s="1" t="str">
        <f t="shared" si="88"/>
        <v>2. 2-5 yrs</v>
      </c>
      <c r="AK926" s="1" t="str">
        <f t="shared" si="89"/>
        <v>3. High</v>
      </c>
      <c r="AL926" s="1" t="str">
        <f t="shared" si="90"/>
        <v>3. Better</v>
      </c>
    </row>
    <row r="927" spans="1:38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f t="shared" si="85"/>
        <v>0</v>
      </c>
      <c r="AH927" t="str">
        <f t="shared" si="86"/>
        <v>36-45</v>
      </c>
      <c r="AI927" t="str">
        <f t="shared" si="87"/>
        <v>1. Under 3K</v>
      </c>
      <c r="AJ927" s="1" t="str">
        <f t="shared" si="88"/>
        <v>1. 0-1 yrs</v>
      </c>
      <c r="AK927" s="1" t="str">
        <f t="shared" si="89"/>
        <v>2. Medium</v>
      </c>
      <c r="AL927" s="1" t="str">
        <f t="shared" si="90"/>
        <v>3. Better</v>
      </c>
    </row>
    <row r="928" spans="1:38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f t="shared" si="85"/>
        <v>0</v>
      </c>
      <c r="AH928" t="str">
        <f t="shared" si="86"/>
        <v>36-45</v>
      </c>
      <c r="AI928" t="str">
        <f t="shared" si="87"/>
        <v>4. 10K+</v>
      </c>
      <c r="AJ928" s="1" t="str">
        <f t="shared" si="88"/>
        <v>4. 10+ yrs</v>
      </c>
      <c r="AK928" s="1" t="str">
        <f t="shared" si="89"/>
        <v>4. Very High</v>
      </c>
      <c r="AL928" s="1" t="str">
        <f t="shared" si="90"/>
        <v>4. Best</v>
      </c>
    </row>
    <row r="929" spans="1:38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f t="shared" si="85"/>
        <v>0</v>
      </c>
      <c r="AH929" t="str">
        <f t="shared" si="86"/>
        <v>36-45</v>
      </c>
      <c r="AI929" t="str">
        <f t="shared" si="87"/>
        <v>2. 3K-6K</v>
      </c>
      <c r="AJ929" s="1" t="str">
        <f t="shared" si="88"/>
        <v>4. 10+ yrs</v>
      </c>
      <c r="AK929" s="1" t="str">
        <f t="shared" si="89"/>
        <v>2. Medium</v>
      </c>
      <c r="AL929" s="1" t="str">
        <f t="shared" si="90"/>
        <v>3. Better</v>
      </c>
    </row>
    <row r="930" spans="1:38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f t="shared" si="85"/>
        <v>1</v>
      </c>
      <c r="AH930" t="str">
        <f t="shared" si="86"/>
        <v>36-45</v>
      </c>
      <c r="AI930" t="str">
        <f t="shared" si="87"/>
        <v>3. 6K-10K</v>
      </c>
      <c r="AJ930" s="1" t="str">
        <f t="shared" si="88"/>
        <v>3. 6-10 yrs</v>
      </c>
      <c r="AK930" s="1" t="str">
        <f t="shared" si="89"/>
        <v>4. Very High</v>
      </c>
      <c r="AL930" s="1" t="str">
        <f t="shared" si="90"/>
        <v>3. Better</v>
      </c>
    </row>
    <row r="931" spans="1:38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f t="shared" si="85"/>
        <v>0</v>
      </c>
      <c r="AH931" t="str">
        <f t="shared" si="86"/>
        <v>26-35</v>
      </c>
      <c r="AI931" t="str">
        <f t="shared" si="87"/>
        <v>2. 3K-6K</v>
      </c>
      <c r="AJ931" s="1" t="str">
        <f t="shared" si="88"/>
        <v>2. 2-5 yrs</v>
      </c>
      <c r="AK931" s="1" t="str">
        <f t="shared" si="89"/>
        <v>4. Very High</v>
      </c>
      <c r="AL931" s="1" t="str">
        <f t="shared" si="90"/>
        <v>3. Better</v>
      </c>
    </row>
    <row r="932" spans="1:38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f t="shared" si="85"/>
        <v>0</v>
      </c>
      <c r="AH932" t="str">
        <f t="shared" si="86"/>
        <v>46-55</v>
      </c>
      <c r="AI932" t="str">
        <f t="shared" si="87"/>
        <v>1. Under 3K</v>
      </c>
      <c r="AJ932" s="1" t="str">
        <f t="shared" si="88"/>
        <v>3. 6-10 yrs</v>
      </c>
      <c r="AK932" s="1" t="str">
        <f t="shared" si="89"/>
        <v>3. High</v>
      </c>
      <c r="AL932" s="1" t="str">
        <f t="shared" si="90"/>
        <v>2. Good</v>
      </c>
    </row>
    <row r="933" spans="1:38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f t="shared" si="85"/>
        <v>0</v>
      </c>
      <c r="AH933" t="str">
        <f t="shared" si="86"/>
        <v>26-35</v>
      </c>
      <c r="AI933" t="str">
        <f t="shared" si="87"/>
        <v>2. 3K-6K</v>
      </c>
      <c r="AJ933" s="1" t="str">
        <f t="shared" si="88"/>
        <v>3. 6-10 yrs</v>
      </c>
      <c r="AK933" s="1" t="str">
        <f t="shared" si="89"/>
        <v>3. High</v>
      </c>
      <c r="AL933" s="1" t="str">
        <f t="shared" si="90"/>
        <v>3. Better</v>
      </c>
    </row>
    <row r="934" spans="1:38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f t="shared" si="85"/>
        <v>1</v>
      </c>
      <c r="AH934" t="str">
        <f t="shared" si="86"/>
        <v>26-35</v>
      </c>
      <c r="AI934" t="str">
        <f t="shared" si="87"/>
        <v>2. 3K-6K</v>
      </c>
      <c r="AJ934" s="1" t="str">
        <f t="shared" si="88"/>
        <v>3. 6-10 yrs</v>
      </c>
      <c r="AK934" s="1" t="str">
        <f t="shared" si="89"/>
        <v>3. High</v>
      </c>
      <c r="AL934" s="1" t="str">
        <f t="shared" si="90"/>
        <v>3. Better</v>
      </c>
    </row>
    <row r="935" spans="1:38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f t="shared" si="85"/>
        <v>0</v>
      </c>
      <c r="AH935" t="str">
        <f t="shared" si="86"/>
        <v>26-35</v>
      </c>
      <c r="AI935" t="str">
        <f t="shared" si="87"/>
        <v>1. Under 3K</v>
      </c>
      <c r="AJ935" s="1" t="str">
        <f t="shared" si="88"/>
        <v>2. 2-5 yrs</v>
      </c>
      <c r="AK935" s="1" t="str">
        <f t="shared" si="89"/>
        <v>1. Low</v>
      </c>
      <c r="AL935" s="1" t="str">
        <f t="shared" si="90"/>
        <v>2. Good</v>
      </c>
    </row>
    <row r="936" spans="1:38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f t="shared" si="85"/>
        <v>0</v>
      </c>
      <c r="AH936" t="str">
        <f t="shared" si="86"/>
        <v>18-25</v>
      </c>
      <c r="AI936" t="str">
        <f t="shared" si="87"/>
        <v>1. Under 3K</v>
      </c>
      <c r="AJ936" s="1" t="str">
        <f t="shared" si="88"/>
        <v>2. 2-5 yrs</v>
      </c>
      <c r="AK936" s="1" t="str">
        <f t="shared" si="89"/>
        <v>2. Medium</v>
      </c>
      <c r="AL936" s="1" t="str">
        <f t="shared" si="90"/>
        <v>2. Good</v>
      </c>
    </row>
    <row r="937" spans="1:38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f t="shared" si="85"/>
        <v>0</v>
      </c>
      <c r="AH937" t="str">
        <f t="shared" si="86"/>
        <v>26-35</v>
      </c>
      <c r="AI937" t="str">
        <f t="shared" si="87"/>
        <v>3. 6K-10K</v>
      </c>
      <c r="AJ937" s="1" t="str">
        <f t="shared" si="88"/>
        <v>3. 6-10 yrs</v>
      </c>
      <c r="AK937" s="1" t="str">
        <f t="shared" si="89"/>
        <v>4. Very High</v>
      </c>
      <c r="AL937" s="1" t="str">
        <f t="shared" si="90"/>
        <v>4. Best</v>
      </c>
    </row>
    <row r="938" spans="1:38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f t="shared" si="85"/>
        <v>0</v>
      </c>
      <c r="AH938" t="str">
        <f t="shared" si="86"/>
        <v>36-45</v>
      </c>
      <c r="AI938" t="str">
        <f t="shared" si="87"/>
        <v>4. 10K+</v>
      </c>
      <c r="AJ938" s="1" t="str">
        <f t="shared" si="88"/>
        <v>1. 0-1 yrs</v>
      </c>
      <c r="AK938" s="1" t="str">
        <f t="shared" si="89"/>
        <v>2. Medium</v>
      </c>
      <c r="AL938" s="1" t="str">
        <f t="shared" si="90"/>
        <v>3. Better</v>
      </c>
    </row>
    <row r="939" spans="1:38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f t="shared" si="85"/>
        <v>0</v>
      </c>
      <c r="AH939" t="str">
        <f t="shared" si="86"/>
        <v>36-45</v>
      </c>
      <c r="AI939" t="str">
        <f t="shared" si="87"/>
        <v>4. 10K+</v>
      </c>
      <c r="AJ939" s="1" t="str">
        <f t="shared" si="88"/>
        <v>4. 10+ yrs</v>
      </c>
      <c r="AK939" s="1" t="str">
        <f t="shared" si="89"/>
        <v>2. Medium</v>
      </c>
      <c r="AL939" s="1" t="str">
        <f t="shared" si="90"/>
        <v>3. Better</v>
      </c>
    </row>
    <row r="940" spans="1:38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f t="shared" si="85"/>
        <v>0</v>
      </c>
      <c r="AH940" t="str">
        <f t="shared" si="86"/>
        <v>56+</v>
      </c>
      <c r="AI940" t="str">
        <f t="shared" si="87"/>
        <v>1. Under 3K</v>
      </c>
      <c r="AJ940" s="1" t="str">
        <f t="shared" si="88"/>
        <v>2. 2-5 yrs</v>
      </c>
      <c r="AK940" s="1" t="str">
        <f t="shared" si="89"/>
        <v>3. High</v>
      </c>
      <c r="AL940" s="1" t="str">
        <f t="shared" si="90"/>
        <v>3. Better</v>
      </c>
    </row>
    <row r="941" spans="1:38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f t="shared" si="85"/>
        <v>1</v>
      </c>
      <c r="AH941" t="str">
        <f t="shared" si="86"/>
        <v>26-35</v>
      </c>
      <c r="AI941" t="str">
        <f t="shared" si="87"/>
        <v>2. 3K-6K</v>
      </c>
      <c r="AJ941" s="1" t="str">
        <f t="shared" si="88"/>
        <v>3. 6-10 yrs</v>
      </c>
      <c r="AK941" s="1" t="str">
        <f t="shared" si="89"/>
        <v>3. High</v>
      </c>
      <c r="AL941" s="1" t="str">
        <f t="shared" si="90"/>
        <v>3. Better</v>
      </c>
    </row>
    <row r="942" spans="1:38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f t="shared" si="85"/>
        <v>1</v>
      </c>
      <c r="AH942" t="str">
        <f t="shared" si="86"/>
        <v>36-45</v>
      </c>
      <c r="AI942" t="str">
        <f t="shared" si="87"/>
        <v>2. 3K-6K</v>
      </c>
      <c r="AJ942" s="1" t="str">
        <f t="shared" si="88"/>
        <v>2. 2-5 yrs</v>
      </c>
      <c r="AK942" s="1" t="str">
        <f t="shared" si="89"/>
        <v>1. Low</v>
      </c>
      <c r="AL942" s="1" t="str">
        <f t="shared" si="90"/>
        <v>3. Better</v>
      </c>
    </row>
    <row r="943" spans="1:38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f t="shared" si="85"/>
        <v>0</v>
      </c>
      <c r="AH943" t="str">
        <f t="shared" si="86"/>
        <v>26-35</v>
      </c>
      <c r="AI943" t="str">
        <f t="shared" si="87"/>
        <v>2. 3K-6K</v>
      </c>
      <c r="AJ943" s="1" t="str">
        <f t="shared" si="88"/>
        <v>3. 6-10 yrs</v>
      </c>
      <c r="AK943" s="1" t="str">
        <f t="shared" si="89"/>
        <v>4. Very High</v>
      </c>
      <c r="AL943" s="1" t="str">
        <f t="shared" si="90"/>
        <v>3. Better</v>
      </c>
    </row>
    <row r="944" spans="1:38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f t="shared" si="85"/>
        <v>0</v>
      </c>
      <c r="AH944" t="str">
        <f t="shared" si="86"/>
        <v>36-45</v>
      </c>
      <c r="AI944" t="str">
        <f t="shared" si="87"/>
        <v>3. 6K-10K</v>
      </c>
      <c r="AJ944" s="1" t="str">
        <f t="shared" si="88"/>
        <v>3. 6-10 yrs</v>
      </c>
      <c r="AK944" s="1" t="str">
        <f t="shared" si="89"/>
        <v>3. High</v>
      </c>
      <c r="AL944" s="1" t="str">
        <f t="shared" si="90"/>
        <v>3. Better</v>
      </c>
    </row>
    <row r="945" spans="1:38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f t="shared" si="85"/>
        <v>0</v>
      </c>
      <c r="AH945" t="str">
        <f t="shared" si="86"/>
        <v>46-55</v>
      </c>
      <c r="AI945" t="str">
        <f t="shared" si="87"/>
        <v>2. 3K-6K</v>
      </c>
      <c r="AJ945" s="1" t="str">
        <f t="shared" si="88"/>
        <v>3. 6-10 yrs</v>
      </c>
      <c r="AK945" s="1" t="str">
        <f t="shared" si="89"/>
        <v>1. Low</v>
      </c>
      <c r="AL945" s="1" t="str">
        <f t="shared" si="90"/>
        <v>4. Best</v>
      </c>
    </row>
    <row r="946" spans="1:38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f t="shared" si="85"/>
        <v>0</v>
      </c>
      <c r="AH946" t="str">
        <f t="shared" si="86"/>
        <v>26-35</v>
      </c>
      <c r="AI946" t="str">
        <f t="shared" si="87"/>
        <v>3. 6K-10K</v>
      </c>
      <c r="AJ946" s="1" t="str">
        <f t="shared" si="88"/>
        <v>3. 6-10 yrs</v>
      </c>
      <c r="AK946" s="1" t="str">
        <f t="shared" si="89"/>
        <v>4. Very High</v>
      </c>
      <c r="AL946" s="1" t="str">
        <f t="shared" si="90"/>
        <v>3. Better</v>
      </c>
    </row>
    <row r="947" spans="1:38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f t="shared" si="85"/>
        <v>0</v>
      </c>
      <c r="AH947" t="str">
        <f t="shared" si="86"/>
        <v>46-55</v>
      </c>
      <c r="AI947" t="str">
        <f t="shared" si="87"/>
        <v>4. 10K+</v>
      </c>
      <c r="AJ947" s="1" t="str">
        <f t="shared" si="88"/>
        <v>2. 2-5 yrs</v>
      </c>
      <c r="AK947" s="1" t="str">
        <f t="shared" si="89"/>
        <v>1. Low</v>
      </c>
      <c r="AL947" s="1" t="str">
        <f t="shared" si="90"/>
        <v>3. Better</v>
      </c>
    </row>
    <row r="948" spans="1:38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f t="shared" si="85"/>
        <v>1</v>
      </c>
      <c r="AH948" t="str">
        <f t="shared" si="86"/>
        <v>36-45</v>
      </c>
      <c r="AI948" t="str">
        <f t="shared" si="87"/>
        <v>3. 6K-10K</v>
      </c>
      <c r="AJ948" s="1" t="str">
        <f t="shared" si="88"/>
        <v>2. 2-5 yrs</v>
      </c>
      <c r="AK948" s="1" t="str">
        <f t="shared" si="89"/>
        <v>2. Medium</v>
      </c>
      <c r="AL948" s="1" t="str">
        <f t="shared" si="90"/>
        <v>3. Better</v>
      </c>
    </row>
    <row r="949" spans="1:38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f t="shared" si="85"/>
        <v>1</v>
      </c>
      <c r="AH949" t="str">
        <f t="shared" si="86"/>
        <v>46-55</v>
      </c>
      <c r="AI949" t="str">
        <f t="shared" si="87"/>
        <v>3. 6K-10K</v>
      </c>
      <c r="AJ949" s="1" t="str">
        <f t="shared" si="88"/>
        <v>3. 6-10 yrs</v>
      </c>
      <c r="AK949" s="1" t="str">
        <f t="shared" si="89"/>
        <v>2. Medium</v>
      </c>
      <c r="AL949" s="1" t="str">
        <f t="shared" si="90"/>
        <v>2. Good</v>
      </c>
    </row>
    <row r="950" spans="1:38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f t="shared" si="85"/>
        <v>0</v>
      </c>
      <c r="AH950" t="str">
        <f t="shared" si="86"/>
        <v>26-35</v>
      </c>
      <c r="AI950" t="str">
        <f t="shared" si="87"/>
        <v>4. 10K+</v>
      </c>
      <c r="AJ950" s="1" t="str">
        <f t="shared" si="88"/>
        <v>3. 6-10 yrs</v>
      </c>
      <c r="AK950" s="1" t="str">
        <f t="shared" si="89"/>
        <v>1. Low</v>
      </c>
      <c r="AL950" s="1" t="str">
        <f t="shared" si="90"/>
        <v>3. Better</v>
      </c>
    </row>
    <row r="951" spans="1:38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f t="shared" si="85"/>
        <v>0</v>
      </c>
      <c r="AH951" t="str">
        <f t="shared" si="86"/>
        <v>36-45</v>
      </c>
      <c r="AI951" t="str">
        <f t="shared" si="87"/>
        <v>2. 3K-6K</v>
      </c>
      <c r="AJ951" s="1" t="str">
        <f t="shared" si="88"/>
        <v>3. 6-10 yrs</v>
      </c>
      <c r="AK951" s="1" t="str">
        <f t="shared" si="89"/>
        <v>3. High</v>
      </c>
      <c r="AL951" s="1" t="str">
        <f t="shared" si="90"/>
        <v>3. Better</v>
      </c>
    </row>
    <row r="952" spans="1:38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f t="shared" si="85"/>
        <v>0</v>
      </c>
      <c r="AH952" t="str">
        <f t="shared" si="86"/>
        <v>26-35</v>
      </c>
      <c r="AI952" t="str">
        <f t="shared" si="87"/>
        <v>3. 6K-10K</v>
      </c>
      <c r="AJ952" s="1" t="str">
        <f t="shared" si="88"/>
        <v>3. 6-10 yrs</v>
      </c>
      <c r="AK952" s="1" t="str">
        <f t="shared" si="89"/>
        <v>3. High</v>
      </c>
      <c r="AL952" s="1" t="str">
        <f t="shared" si="90"/>
        <v>2. Good</v>
      </c>
    </row>
    <row r="953" spans="1:38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f t="shared" si="85"/>
        <v>0</v>
      </c>
      <c r="AH953" t="str">
        <f t="shared" si="86"/>
        <v>36-45</v>
      </c>
      <c r="AI953" t="str">
        <f t="shared" si="87"/>
        <v>3. 6K-10K</v>
      </c>
      <c r="AJ953" s="1" t="str">
        <f t="shared" si="88"/>
        <v>4. 10+ yrs</v>
      </c>
      <c r="AK953" s="1" t="str">
        <f t="shared" si="89"/>
        <v>2. Medium</v>
      </c>
      <c r="AL953" s="1" t="str">
        <f t="shared" si="90"/>
        <v>3. Better</v>
      </c>
    </row>
    <row r="954" spans="1:38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f t="shared" si="85"/>
        <v>1</v>
      </c>
      <c r="AH954" t="str">
        <f t="shared" si="86"/>
        <v>26-35</v>
      </c>
      <c r="AI954" t="str">
        <f t="shared" si="87"/>
        <v>1. Under 3K</v>
      </c>
      <c r="AJ954" s="1" t="str">
        <f t="shared" si="88"/>
        <v>2. 2-5 yrs</v>
      </c>
      <c r="AK954" s="1" t="str">
        <f t="shared" si="89"/>
        <v>2. Medium</v>
      </c>
      <c r="AL954" s="1" t="str">
        <f t="shared" si="90"/>
        <v>4. Best</v>
      </c>
    </row>
    <row r="955" spans="1:38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f t="shared" si="85"/>
        <v>1</v>
      </c>
      <c r="AH955" t="str">
        <f t="shared" si="86"/>
        <v>36-45</v>
      </c>
      <c r="AI955" t="str">
        <f t="shared" si="87"/>
        <v>1. Under 3K</v>
      </c>
      <c r="AJ955" s="1" t="str">
        <f t="shared" si="88"/>
        <v>2. 2-5 yrs</v>
      </c>
      <c r="AK955" s="1" t="str">
        <f t="shared" si="89"/>
        <v>1. Low</v>
      </c>
      <c r="AL955" s="1" t="str">
        <f t="shared" si="90"/>
        <v>4. Best</v>
      </c>
    </row>
    <row r="956" spans="1:38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f t="shared" si="85"/>
        <v>0</v>
      </c>
      <c r="AH956" t="str">
        <f t="shared" si="86"/>
        <v>36-45</v>
      </c>
      <c r="AI956" t="str">
        <f t="shared" si="87"/>
        <v>4. 10K+</v>
      </c>
      <c r="AJ956" s="1" t="str">
        <f t="shared" si="88"/>
        <v>4. 10+ yrs</v>
      </c>
      <c r="AK956" s="1" t="str">
        <f t="shared" si="89"/>
        <v>3. High</v>
      </c>
      <c r="AL956" s="1" t="str">
        <f t="shared" si="90"/>
        <v>2. Good</v>
      </c>
    </row>
    <row r="957" spans="1:38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f t="shared" si="85"/>
        <v>0</v>
      </c>
      <c r="AH957" t="str">
        <f t="shared" si="86"/>
        <v>46-55</v>
      </c>
      <c r="AI957" t="str">
        <f t="shared" si="87"/>
        <v>4. 10K+</v>
      </c>
      <c r="AJ957" s="1" t="str">
        <f t="shared" si="88"/>
        <v>4. 10+ yrs</v>
      </c>
      <c r="AK957" s="1" t="str">
        <f t="shared" si="89"/>
        <v>3. High</v>
      </c>
      <c r="AL957" s="1" t="str">
        <f t="shared" si="90"/>
        <v>3. Better</v>
      </c>
    </row>
    <row r="958" spans="1:38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f t="shared" si="85"/>
        <v>0</v>
      </c>
      <c r="AH958" t="str">
        <f t="shared" si="86"/>
        <v>56+</v>
      </c>
      <c r="AI958" t="str">
        <f t="shared" si="87"/>
        <v>4. 10K+</v>
      </c>
      <c r="AJ958" s="1" t="str">
        <f t="shared" si="88"/>
        <v>3. 6-10 yrs</v>
      </c>
      <c r="AK958" s="1" t="str">
        <f t="shared" si="89"/>
        <v>2. Medium</v>
      </c>
      <c r="AL958" s="1" t="str">
        <f t="shared" si="90"/>
        <v>3. Better</v>
      </c>
    </row>
    <row r="959" spans="1:38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f t="shared" si="85"/>
        <v>0</v>
      </c>
      <c r="AH959" t="str">
        <f t="shared" si="86"/>
        <v>36-45</v>
      </c>
      <c r="AI959" t="str">
        <f t="shared" si="87"/>
        <v>2. 3K-6K</v>
      </c>
      <c r="AJ959" s="1" t="str">
        <f t="shared" si="88"/>
        <v>2. 2-5 yrs</v>
      </c>
      <c r="AK959" s="1" t="str">
        <f t="shared" si="89"/>
        <v>3. High</v>
      </c>
      <c r="AL959" s="1" t="str">
        <f t="shared" si="90"/>
        <v>3. Better</v>
      </c>
    </row>
    <row r="960" spans="1:38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f t="shared" si="85"/>
        <v>0</v>
      </c>
      <c r="AH960" t="str">
        <f t="shared" si="86"/>
        <v>26-35</v>
      </c>
      <c r="AI960" t="str">
        <f t="shared" si="87"/>
        <v>3. 6K-10K</v>
      </c>
      <c r="AJ960" s="1" t="str">
        <f t="shared" si="88"/>
        <v>3. 6-10 yrs</v>
      </c>
      <c r="AK960" s="1" t="str">
        <f t="shared" si="89"/>
        <v>4. Very High</v>
      </c>
      <c r="AL960" s="1" t="str">
        <f t="shared" si="90"/>
        <v>2. Good</v>
      </c>
    </row>
    <row r="961" spans="1:38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f t="shared" si="85"/>
        <v>0</v>
      </c>
      <c r="AH961" t="str">
        <f t="shared" si="86"/>
        <v>36-45</v>
      </c>
      <c r="AI961" t="str">
        <f t="shared" si="87"/>
        <v>2. 3K-6K</v>
      </c>
      <c r="AJ961" s="1" t="str">
        <f t="shared" si="88"/>
        <v>3. 6-10 yrs</v>
      </c>
      <c r="AK961" s="1" t="str">
        <f t="shared" si="89"/>
        <v>4. Very High</v>
      </c>
      <c r="AL961" s="1" t="str">
        <f t="shared" si="90"/>
        <v>3. Better</v>
      </c>
    </row>
    <row r="962" spans="1:38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f t="shared" ref="AG962:AG1025" si="91">IF(B962="Yes",1,0)</f>
        <v>0</v>
      </c>
      <c r="AH962" t="str">
        <f t="shared" ref="AH962:AH1025" si="92">IF(A962&lt;26,"18-25",IF(A962&lt;36,"26-35",IF(A962&lt;46,"36-45",IF(A962&lt;56,"46-55","56+"))))</f>
        <v>36-45</v>
      </c>
      <c r="AI962" t="str">
        <f t="shared" ref="AI962:AI1025" si="93">IF(R962&lt;3000,"1. Under 3K",IF(R962&lt;6000,"2. 3K-6K",IF(R962&lt;10000,"3. 6K-10K","4. 10K+")))</f>
        <v>2. 3K-6K</v>
      </c>
      <c r="AJ962" s="1" t="str">
        <f t="shared" ref="AJ962:AJ1025" si="94">IF(AC962&lt;2,"1. 0-1 yrs",IF(AC962&lt;6,"2. 2-5 yrs",IF(AC962&lt;11,"3. 6-10 yrs","4. 10+ yrs")))</f>
        <v>3. 6-10 yrs</v>
      </c>
      <c r="AK962" s="1" t="str">
        <f t="shared" ref="AK962:AK1025" si="95">CHOOSE(P962,"1. Low","2. Medium","3. High","4. Very High")</f>
        <v>1. Low</v>
      </c>
      <c r="AL962" s="1" t="str">
        <f t="shared" ref="AL962:AL1025" si="96">CHOOSE(AB962,"1. Bad","2. Good","3. Better","4. Best")</f>
        <v>3. Better</v>
      </c>
    </row>
    <row r="963" spans="1:38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f t="shared" si="91"/>
        <v>0</v>
      </c>
      <c r="AH963" t="str">
        <f t="shared" si="92"/>
        <v>26-35</v>
      </c>
      <c r="AI963" t="str">
        <f t="shared" si="93"/>
        <v>2. 3K-6K</v>
      </c>
      <c r="AJ963" s="1" t="str">
        <f t="shared" si="94"/>
        <v>3. 6-10 yrs</v>
      </c>
      <c r="AK963" s="1" t="str">
        <f t="shared" si="95"/>
        <v>3. High</v>
      </c>
      <c r="AL963" s="1" t="str">
        <f t="shared" si="96"/>
        <v>3. Better</v>
      </c>
    </row>
    <row r="964" spans="1:38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f t="shared" si="91"/>
        <v>0</v>
      </c>
      <c r="AH964" t="str">
        <f t="shared" si="92"/>
        <v>46-55</v>
      </c>
      <c r="AI964" t="str">
        <f t="shared" si="93"/>
        <v>4. 10K+</v>
      </c>
      <c r="AJ964" s="1" t="str">
        <f t="shared" si="94"/>
        <v>4. 10+ yrs</v>
      </c>
      <c r="AK964" s="1" t="str">
        <f t="shared" si="95"/>
        <v>2. Medium</v>
      </c>
      <c r="AL964" s="1" t="str">
        <f t="shared" si="96"/>
        <v>3. Better</v>
      </c>
    </row>
    <row r="965" spans="1:38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f t="shared" si="91"/>
        <v>0</v>
      </c>
      <c r="AH965" t="str">
        <f t="shared" si="92"/>
        <v>36-45</v>
      </c>
      <c r="AI965" t="str">
        <f t="shared" si="93"/>
        <v>3. 6K-10K</v>
      </c>
      <c r="AJ965" s="1" t="str">
        <f t="shared" si="94"/>
        <v>3. 6-10 yrs</v>
      </c>
      <c r="AK965" s="1" t="str">
        <f t="shared" si="95"/>
        <v>1. Low</v>
      </c>
      <c r="AL965" s="1" t="str">
        <f t="shared" si="96"/>
        <v>3. Better</v>
      </c>
    </row>
    <row r="966" spans="1:38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f t="shared" si="91"/>
        <v>0</v>
      </c>
      <c r="AH966" t="str">
        <f t="shared" si="92"/>
        <v>26-35</v>
      </c>
      <c r="AI966" t="str">
        <f t="shared" si="93"/>
        <v>3. 6K-10K</v>
      </c>
      <c r="AJ966" s="1" t="str">
        <f t="shared" si="94"/>
        <v>3. 6-10 yrs</v>
      </c>
      <c r="AK966" s="1" t="str">
        <f t="shared" si="95"/>
        <v>1. Low</v>
      </c>
      <c r="AL966" s="1" t="str">
        <f t="shared" si="96"/>
        <v>4. Best</v>
      </c>
    </row>
    <row r="967" spans="1:38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f t="shared" si="91"/>
        <v>0</v>
      </c>
      <c r="AH967" t="str">
        <f t="shared" si="92"/>
        <v>18-25</v>
      </c>
      <c r="AI967" t="str">
        <f t="shared" si="93"/>
        <v>2. 3K-6K</v>
      </c>
      <c r="AJ967" s="1" t="str">
        <f t="shared" si="94"/>
        <v>2. 2-5 yrs</v>
      </c>
      <c r="AK967" s="1" t="str">
        <f t="shared" si="95"/>
        <v>4. Very High</v>
      </c>
      <c r="AL967" s="1" t="str">
        <f t="shared" si="96"/>
        <v>2. Good</v>
      </c>
    </row>
    <row r="968" spans="1:38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f t="shared" si="91"/>
        <v>1</v>
      </c>
      <c r="AH968" t="str">
        <f t="shared" si="92"/>
        <v>56+</v>
      </c>
      <c r="AI968" t="str">
        <f t="shared" si="93"/>
        <v>4. 10K+</v>
      </c>
      <c r="AJ968" s="1" t="str">
        <f t="shared" si="94"/>
        <v>3. 6-10 yrs</v>
      </c>
      <c r="AK968" s="1" t="str">
        <f t="shared" si="95"/>
        <v>1. Low</v>
      </c>
      <c r="AL968" s="1" t="str">
        <f t="shared" si="96"/>
        <v>2. Good</v>
      </c>
    </row>
    <row r="969" spans="1:38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f t="shared" si="91"/>
        <v>0</v>
      </c>
      <c r="AH969" t="str">
        <f t="shared" si="92"/>
        <v>36-45</v>
      </c>
      <c r="AI969" t="str">
        <f t="shared" si="93"/>
        <v>1. Under 3K</v>
      </c>
      <c r="AJ969" s="1" t="str">
        <f t="shared" si="94"/>
        <v>2. 2-5 yrs</v>
      </c>
      <c r="AK969" s="1" t="str">
        <f t="shared" si="95"/>
        <v>2. Medium</v>
      </c>
      <c r="AL969" s="1" t="str">
        <f t="shared" si="96"/>
        <v>3. Better</v>
      </c>
    </row>
    <row r="970" spans="1:38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f t="shared" si="91"/>
        <v>0</v>
      </c>
      <c r="AH970" t="str">
        <f t="shared" si="92"/>
        <v>36-45</v>
      </c>
      <c r="AI970" t="str">
        <f t="shared" si="93"/>
        <v>2. 3K-6K</v>
      </c>
      <c r="AJ970" s="1" t="str">
        <f t="shared" si="94"/>
        <v>4. 10+ yrs</v>
      </c>
      <c r="AK970" s="1" t="str">
        <f t="shared" si="95"/>
        <v>1. Low</v>
      </c>
      <c r="AL970" s="1" t="str">
        <f t="shared" si="96"/>
        <v>2. Good</v>
      </c>
    </row>
    <row r="971" spans="1:38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f t="shared" si="91"/>
        <v>0</v>
      </c>
      <c r="AH971" t="str">
        <f t="shared" si="92"/>
        <v>46-55</v>
      </c>
      <c r="AI971" t="str">
        <f t="shared" si="93"/>
        <v>3. 6K-10K</v>
      </c>
      <c r="AJ971" s="1" t="str">
        <f t="shared" si="94"/>
        <v>3. 6-10 yrs</v>
      </c>
      <c r="AK971" s="1" t="str">
        <f t="shared" si="95"/>
        <v>4. Very High</v>
      </c>
      <c r="AL971" s="1" t="str">
        <f t="shared" si="96"/>
        <v>3. Better</v>
      </c>
    </row>
    <row r="972" spans="1:38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f t="shared" si="91"/>
        <v>0</v>
      </c>
      <c r="AH972" t="str">
        <f t="shared" si="92"/>
        <v>26-35</v>
      </c>
      <c r="AI972" t="str">
        <f t="shared" si="93"/>
        <v>1. Under 3K</v>
      </c>
      <c r="AJ972" s="1" t="str">
        <f t="shared" si="94"/>
        <v>1. 0-1 yrs</v>
      </c>
      <c r="AK972" s="1" t="str">
        <f t="shared" si="95"/>
        <v>4. Very High</v>
      </c>
      <c r="AL972" s="1" t="str">
        <f t="shared" si="96"/>
        <v>3. Better</v>
      </c>
    </row>
    <row r="973" spans="1:38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f t="shared" si="91"/>
        <v>0</v>
      </c>
      <c r="AH973" t="str">
        <f t="shared" si="92"/>
        <v>46-55</v>
      </c>
      <c r="AI973" t="str">
        <f t="shared" si="93"/>
        <v>4. 10K+</v>
      </c>
      <c r="AJ973" s="1" t="str">
        <f t="shared" si="94"/>
        <v>2. 2-5 yrs</v>
      </c>
      <c r="AK973" s="1" t="str">
        <f t="shared" si="95"/>
        <v>2. Medium</v>
      </c>
      <c r="AL973" s="1" t="str">
        <f t="shared" si="96"/>
        <v>2. Good</v>
      </c>
    </row>
    <row r="974" spans="1:38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f t="shared" si="91"/>
        <v>0</v>
      </c>
      <c r="AH974" t="str">
        <f t="shared" si="92"/>
        <v>18-25</v>
      </c>
      <c r="AI974" t="str">
        <f t="shared" si="93"/>
        <v>1. Under 3K</v>
      </c>
      <c r="AJ974" s="1" t="str">
        <f t="shared" si="94"/>
        <v>1. 0-1 yrs</v>
      </c>
      <c r="AK974" s="1" t="str">
        <f t="shared" si="95"/>
        <v>4. Very High</v>
      </c>
      <c r="AL974" s="1" t="str">
        <f t="shared" si="96"/>
        <v>4. Best</v>
      </c>
    </row>
    <row r="975" spans="1:38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f t="shared" si="91"/>
        <v>0</v>
      </c>
      <c r="AH975" t="str">
        <f t="shared" si="92"/>
        <v>26-35</v>
      </c>
      <c r="AI975" t="str">
        <f t="shared" si="93"/>
        <v>2. 3K-6K</v>
      </c>
      <c r="AJ975" s="1" t="str">
        <f t="shared" si="94"/>
        <v>3. 6-10 yrs</v>
      </c>
      <c r="AK975" s="1" t="str">
        <f t="shared" si="95"/>
        <v>4. Very High</v>
      </c>
      <c r="AL975" s="1" t="str">
        <f t="shared" si="96"/>
        <v>3. Better</v>
      </c>
    </row>
    <row r="976" spans="1:38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f t="shared" si="91"/>
        <v>0</v>
      </c>
      <c r="AH976" t="str">
        <f t="shared" si="92"/>
        <v>26-35</v>
      </c>
      <c r="AI976" t="str">
        <f t="shared" si="93"/>
        <v>2. 3K-6K</v>
      </c>
      <c r="AJ976" s="1" t="str">
        <f t="shared" si="94"/>
        <v>3. 6-10 yrs</v>
      </c>
      <c r="AK976" s="1" t="str">
        <f t="shared" si="95"/>
        <v>4. Very High</v>
      </c>
      <c r="AL976" s="1" t="str">
        <f t="shared" si="96"/>
        <v>3. Better</v>
      </c>
    </row>
    <row r="977" spans="1:38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f t="shared" si="91"/>
        <v>1</v>
      </c>
      <c r="AH977" t="str">
        <f t="shared" si="92"/>
        <v>46-55</v>
      </c>
      <c r="AI977" t="str">
        <f t="shared" si="93"/>
        <v>4. 10K+</v>
      </c>
      <c r="AJ977" s="1" t="str">
        <f t="shared" si="94"/>
        <v>4. 10+ yrs</v>
      </c>
      <c r="AK977" s="1" t="str">
        <f t="shared" si="95"/>
        <v>3. High</v>
      </c>
      <c r="AL977" s="1" t="str">
        <f t="shared" si="96"/>
        <v>2. Good</v>
      </c>
    </row>
    <row r="978" spans="1:38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f t="shared" si="91"/>
        <v>0</v>
      </c>
      <c r="AH978" t="str">
        <f t="shared" si="92"/>
        <v>56+</v>
      </c>
      <c r="AI978" t="str">
        <f t="shared" si="93"/>
        <v>4. 10K+</v>
      </c>
      <c r="AJ978" s="1" t="str">
        <f t="shared" si="94"/>
        <v>4. 10+ yrs</v>
      </c>
      <c r="AK978" s="1" t="str">
        <f t="shared" si="95"/>
        <v>2. Medium</v>
      </c>
      <c r="AL978" s="1" t="str">
        <f t="shared" si="96"/>
        <v>3. Better</v>
      </c>
    </row>
    <row r="979" spans="1:38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f t="shared" si="91"/>
        <v>0</v>
      </c>
      <c r="AH979" t="str">
        <f t="shared" si="92"/>
        <v>26-35</v>
      </c>
      <c r="AI979" t="str">
        <f t="shared" si="93"/>
        <v>1. Under 3K</v>
      </c>
      <c r="AJ979" s="1" t="str">
        <f t="shared" si="94"/>
        <v>2. 2-5 yrs</v>
      </c>
      <c r="AK979" s="1" t="str">
        <f t="shared" si="95"/>
        <v>3. High</v>
      </c>
      <c r="AL979" s="1" t="str">
        <f t="shared" si="96"/>
        <v>3. Better</v>
      </c>
    </row>
    <row r="980" spans="1:38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f t="shared" si="91"/>
        <v>0</v>
      </c>
      <c r="AH980" t="str">
        <f t="shared" si="92"/>
        <v>36-45</v>
      </c>
      <c r="AI980" t="str">
        <f t="shared" si="93"/>
        <v>3. 6K-10K</v>
      </c>
      <c r="AJ980" s="1" t="str">
        <f t="shared" si="94"/>
        <v>4. 10+ yrs</v>
      </c>
      <c r="AK980" s="1" t="str">
        <f t="shared" si="95"/>
        <v>3. High</v>
      </c>
      <c r="AL980" s="1" t="str">
        <f t="shared" si="96"/>
        <v>3. Better</v>
      </c>
    </row>
    <row r="981" spans="1:38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f t="shared" si="91"/>
        <v>0</v>
      </c>
      <c r="AH981" t="str">
        <f t="shared" si="92"/>
        <v>26-35</v>
      </c>
      <c r="AI981" t="str">
        <f t="shared" si="93"/>
        <v>2. 3K-6K</v>
      </c>
      <c r="AJ981" s="1" t="str">
        <f t="shared" si="94"/>
        <v>3. 6-10 yrs</v>
      </c>
      <c r="AK981" s="1" t="str">
        <f t="shared" si="95"/>
        <v>3. High</v>
      </c>
      <c r="AL981" s="1" t="str">
        <f t="shared" si="96"/>
        <v>3. Better</v>
      </c>
    </row>
    <row r="982" spans="1:38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f t="shared" si="91"/>
        <v>1</v>
      </c>
      <c r="AH982" t="str">
        <f t="shared" si="92"/>
        <v>26-35</v>
      </c>
      <c r="AI982" t="str">
        <f t="shared" si="93"/>
        <v>1. Under 3K</v>
      </c>
      <c r="AJ982" s="1" t="str">
        <f t="shared" si="94"/>
        <v>1. 0-1 yrs</v>
      </c>
      <c r="AK982" s="1" t="str">
        <f t="shared" si="95"/>
        <v>4. Very High</v>
      </c>
      <c r="AL982" s="1" t="str">
        <f t="shared" si="96"/>
        <v>4. Best</v>
      </c>
    </row>
    <row r="983" spans="1:38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f t="shared" si="91"/>
        <v>1</v>
      </c>
      <c r="AH983" t="str">
        <f t="shared" si="92"/>
        <v>26-35</v>
      </c>
      <c r="AI983" t="str">
        <f t="shared" si="93"/>
        <v>2. 3K-6K</v>
      </c>
      <c r="AJ983" s="1" t="str">
        <f t="shared" si="94"/>
        <v>2. 2-5 yrs</v>
      </c>
      <c r="AK983" s="1" t="str">
        <f t="shared" si="95"/>
        <v>3. High</v>
      </c>
      <c r="AL983" s="1" t="str">
        <f t="shared" si="96"/>
        <v>2. Good</v>
      </c>
    </row>
    <row r="984" spans="1:38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f t="shared" si="91"/>
        <v>0</v>
      </c>
      <c r="AH984" t="str">
        <f t="shared" si="92"/>
        <v>36-45</v>
      </c>
      <c r="AI984" t="str">
        <f t="shared" si="93"/>
        <v>1. Under 3K</v>
      </c>
      <c r="AJ984" s="1" t="str">
        <f t="shared" si="94"/>
        <v>2. 2-5 yrs</v>
      </c>
      <c r="AK984" s="1" t="str">
        <f t="shared" si="95"/>
        <v>3. High</v>
      </c>
      <c r="AL984" s="1" t="str">
        <f t="shared" si="96"/>
        <v>3. Better</v>
      </c>
    </row>
    <row r="985" spans="1:38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f t="shared" si="91"/>
        <v>0</v>
      </c>
      <c r="AH985" t="str">
        <f t="shared" si="92"/>
        <v>26-35</v>
      </c>
      <c r="AI985" t="str">
        <f t="shared" si="93"/>
        <v>3. 6K-10K</v>
      </c>
      <c r="AJ985" s="1" t="str">
        <f t="shared" si="94"/>
        <v>4. 10+ yrs</v>
      </c>
      <c r="AK985" s="1" t="str">
        <f t="shared" si="95"/>
        <v>4. Very High</v>
      </c>
      <c r="AL985" s="1" t="str">
        <f t="shared" si="96"/>
        <v>4. Best</v>
      </c>
    </row>
    <row r="986" spans="1:38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f t="shared" si="91"/>
        <v>0</v>
      </c>
      <c r="AH986" t="str">
        <f t="shared" si="92"/>
        <v>26-35</v>
      </c>
      <c r="AI986" t="str">
        <f t="shared" si="93"/>
        <v>2. 3K-6K</v>
      </c>
      <c r="AJ986" s="1" t="str">
        <f t="shared" si="94"/>
        <v>2. 2-5 yrs</v>
      </c>
      <c r="AK986" s="1" t="str">
        <f t="shared" si="95"/>
        <v>1. Low</v>
      </c>
      <c r="AL986" s="1" t="str">
        <f t="shared" si="96"/>
        <v>3. Better</v>
      </c>
    </row>
    <row r="987" spans="1:38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f t="shared" si="91"/>
        <v>1</v>
      </c>
      <c r="AH987" t="str">
        <f t="shared" si="92"/>
        <v>26-35</v>
      </c>
      <c r="AI987" t="str">
        <f t="shared" si="93"/>
        <v>3. 6K-10K</v>
      </c>
      <c r="AJ987" s="1" t="str">
        <f t="shared" si="94"/>
        <v>3. 6-10 yrs</v>
      </c>
      <c r="AK987" s="1" t="str">
        <f t="shared" si="95"/>
        <v>3. High</v>
      </c>
      <c r="AL987" s="1" t="str">
        <f t="shared" si="96"/>
        <v>2. Good</v>
      </c>
    </row>
    <row r="988" spans="1:38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f t="shared" si="91"/>
        <v>0</v>
      </c>
      <c r="AH988" t="str">
        <f t="shared" si="92"/>
        <v>36-45</v>
      </c>
      <c r="AI988" t="str">
        <f t="shared" si="93"/>
        <v>3. 6K-10K</v>
      </c>
      <c r="AJ988" s="1" t="str">
        <f t="shared" si="94"/>
        <v>2. 2-5 yrs</v>
      </c>
      <c r="AK988" s="1" t="str">
        <f t="shared" si="95"/>
        <v>4. Very High</v>
      </c>
      <c r="AL988" s="1" t="str">
        <f t="shared" si="96"/>
        <v>4. Best</v>
      </c>
    </row>
    <row r="989" spans="1:38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f t="shared" si="91"/>
        <v>0</v>
      </c>
      <c r="AH989" t="str">
        <f t="shared" si="92"/>
        <v>46-55</v>
      </c>
      <c r="AI989" t="str">
        <f t="shared" si="93"/>
        <v>4. 10K+</v>
      </c>
      <c r="AJ989" s="1" t="str">
        <f t="shared" si="94"/>
        <v>2. 2-5 yrs</v>
      </c>
      <c r="AK989" s="1" t="str">
        <f t="shared" si="95"/>
        <v>2. Medium</v>
      </c>
      <c r="AL989" s="1" t="str">
        <f t="shared" si="96"/>
        <v>3. Better</v>
      </c>
    </row>
    <row r="990" spans="1:38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f t="shared" si="91"/>
        <v>0</v>
      </c>
      <c r="AH990" t="str">
        <f t="shared" si="92"/>
        <v>36-45</v>
      </c>
      <c r="AI990" t="str">
        <f t="shared" si="93"/>
        <v>2. 3K-6K</v>
      </c>
      <c r="AJ990" s="1" t="str">
        <f t="shared" si="94"/>
        <v>3. 6-10 yrs</v>
      </c>
      <c r="AK990" s="1" t="str">
        <f t="shared" si="95"/>
        <v>4. Very High</v>
      </c>
      <c r="AL990" s="1" t="str">
        <f t="shared" si="96"/>
        <v>2. Good</v>
      </c>
    </row>
    <row r="991" spans="1:38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f t="shared" si="91"/>
        <v>0</v>
      </c>
      <c r="AH991" t="str">
        <f t="shared" si="92"/>
        <v>36-45</v>
      </c>
      <c r="AI991" t="str">
        <f t="shared" si="93"/>
        <v>1. Under 3K</v>
      </c>
      <c r="AJ991" s="1" t="str">
        <f t="shared" si="94"/>
        <v>3. 6-10 yrs</v>
      </c>
      <c r="AK991" s="1" t="str">
        <f t="shared" si="95"/>
        <v>3. High</v>
      </c>
      <c r="AL991" s="1" t="str">
        <f t="shared" si="96"/>
        <v>3. Better</v>
      </c>
    </row>
    <row r="992" spans="1:38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f t="shared" si="91"/>
        <v>0</v>
      </c>
      <c r="AH992" t="str">
        <f t="shared" si="92"/>
        <v>26-35</v>
      </c>
      <c r="AI992" t="str">
        <f t="shared" si="93"/>
        <v>3. 6K-10K</v>
      </c>
      <c r="AJ992" s="1" t="str">
        <f t="shared" si="94"/>
        <v>2. 2-5 yrs</v>
      </c>
      <c r="AK992" s="1" t="str">
        <f t="shared" si="95"/>
        <v>4. Very High</v>
      </c>
      <c r="AL992" s="1" t="str">
        <f t="shared" si="96"/>
        <v>4. Best</v>
      </c>
    </row>
    <row r="993" spans="1:38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f t="shared" si="91"/>
        <v>0</v>
      </c>
      <c r="AH993" t="str">
        <f t="shared" si="92"/>
        <v>26-35</v>
      </c>
      <c r="AI993" t="str">
        <f t="shared" si="93"/>
        <v>2. 3K-6K</v>
      </c>
      <c r="AJ993" s="1" t="str">
        <f t="shared" si="94"/>
        <v>2. 2-5 yrs</v>
      </c>
      <c r="AK993" s="1" t="str">
        <f t="shared" si="95"/>
        <v>2. Medium</v>
      </c>
      <c r="AL993" s="1" t="str">
        <f t="shared" si="96"/>
        <v>2. Good</v>
      </c>
    </row>
    <row r="994" spans="1:38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f t="shared" si="91"/>
        <v>0</v>
      </c>
      <c r="AH994" t="str">
        <f t="shared" si="92"/>
        <v>36-45</v>
      </c>
      <c r="AI994" t="str">
        <f t="shared" si="93"/>
        <v>4. 10K+</v>
      </c>
      <c r="AJ994" s="1" t="str">
        <f t="shared" si="94"/>
        <v>3. 6-10 yrs</v>
      </c>
      <c r="AK994" s="1" t="str">
        <f t="shared" si="95"/>
        <v>3. High</v>
      </c>
      <c r="AL994" s="1" t="str">
        <f t="shared" si="96"/>
        <v>3. Better</v>
      </c>
    </row>
    <row r="995" spans="1:38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f t="shared" si="91"/>
        <v>0</v>
      </c>
      <c r="AH995" t="str">
        <f t="shared" si="92"/>
        <v>18-25</v>
      </c>
      <c r="AI995" t="str">
        <f t="shared" si="93"/>
        <v>3. 6K-10K</v>
      </c>
      <c r="AJ995" s="1" t="str">
        <f t="shared" si="94"/>
        <v>2. 2-5 yrs</v>
      </c>
      <c r="AK995" s="1" t="str">
        <f t="shared" si="95"/>
        <v>3. High</v>
      </c>
      <c r="AL995" s="1" t="str">
        <f t="shared" si="96"/>
        <v>2. Good</v>
      </c>
    </row>
    <row r="996" spans="1:38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f t="shared" si="91"/>
        <v>0</v>
      </c>
      <c r="AH996" t="str">
        <f t="shared" si="92"/>
        <v>46-55</v>
      </c>
      <c r="AI996" t="str">
        <f t="shared" si="93"/>
        <v>4. 10K+</v>
      </c>
      <c r="AJ996" s="1" t="str">
        <f t="shared" si="94"/>
        <v>2. 2-5 yrs</v>
      </c>
      <c r="AK996" s="1" t="str">
        <f t="shared" si="95"/>
        <v>3. High</v>
      </c>
      <c r="AL996" s="1" t="str">
        <f t="shared" si="96"/>
        <v>2. Good</v>
      </c>
    </row>
    <row r="997" spans="1:38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f t="shared" si="91"/>
        <v>0</v>
      </c>
      <c r="AH997" t="str">
        <f t="shared" si="92"/>
        <v>36-45</v>
      </c>
      <c r="AI997" t="str">
        <f t="shared" si="93"/>
        <v>2. 3K-6K</v>
      </c>
      <c r="AJ997" s="1" t="str">
        <f t="shared" si="94"/>
        <v>4. 10+ yrs</v>
      </c>
      <c r="AK997" s="1" t="str">
        <f t="shared" si="95"/>
        <v>3. High</v>
      </c>
      <c r="AL997" s="1" t="str">
        <f t="shared" si="96"/>
        <v>1. Bad</v>
      </c>
    </row>
    <row r="998" spans="1:38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f t="shared" si="91"/>
        <v>0</v>
      </c>
      <c r="AH998" t="str">
        <f t="shared" si="92"/>
        <v>26-35</v>
      </c>
      <c r="AI998" t="str">
        <f t="shared" si="93"/>
        <v>2. 3K-6K</v>
      </c>
      <c r="AJ998" s="1" t="str">
        <f t="shared" si="94"/>
        <v>3. 6-10 yrs</v>
      </c>
      <c r="AK998" s="1" t="str">
        <f t="shared" si="95"/>
        <v>4. Very High</v>
      </c>
      <c r="AL998" s="1" t="str">
        <f t="shared" si="96"/>
        <v>3. Better</v>
      </c>
    </row>
    <row r="999" spans="1:38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f t="shared" si="91"/>
        <v>1</v>
      </c>
      <c r="AH999" t="str">
        <f t="shared" si="92"/>
        <v>26-35</v>
      </c>
      <c r="AI999" t="str">
        <f t="shared" si="93"/>
        <v>1. Under 3K</v>
      </c>
      <c r="AJ999" s="1" t="str">
        <f t="shared" si="94"/>
        <v>3. 6-10 yrs</v>
      </c>
      <c r="AK999" s="1" t="str">
        <f t="shared" si="95"/>
        <v>3. High</v>
      </c>
      <c r="AL999" s="1" t="str">
        <f t="shared" si="96"/>
        <v>3. Better</v>
      </c>
    </row>
    <row r="1000" spans="1:38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f t="shared" si="91"/>
        <v>0</v>
      </c>
      <c r="AH1000" t="str">
        <f t="shared" si="92"/>
        <v>26-35</v>
      </c>
      <c r="AI1000" t="str">
        <f t="shared" si="93"/>
        <v>2. 3K-6K</v>
      </c>
      <c r="AJ1000" s="1" t="str">
        <f t="shared" si="94"/>
        <v>2. 2-5 yrs</v>
      </c>
      <c r="AK1000" s="1" t="str">
        <f t="shared" si="95"/>
        <v>4. Very High</v>
      </c>
      <c r="AL1000" s="1" t="str">
        <f t="shared" si="96"/>
        <v>3. Better</v>
      </c>
    </row>
    <row r="1001" spans="1:38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f t="shared" si="91"/>
        <v>0</v>
      </c>
      <c r="AH1001" t="str">
        <f t="shared" si="92"/>
        <v>36-45</v>
      </c>
      <c r="AI1001" t="str">
        <f t="shared" si="93"/>
        <v>4. 10K+</v>
      </c>
      <c r="AJ1001" s="1" t="str">
        <f t="shared" si="94"/>
        <v>4. 10+ yrs</v>
      </c>
      <c r="AK1001" s="1" t="str">
        <f t="shared" si="95"/>
        <v>1. Low</v>
      </c>
      <c r="AL1001" s="1" t="str">
        <f t="shared" si="96"/>
        <v>3. Better</v>
      </c>
    </row>
    <row r="1002" spans="1:38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f t="shared" si="91"/>
        <v>0</v>
      </c>
      <c r="AH1002" t="str">
        <f t="shared" si="92"/>
        <v>46-55</v>
      </c>
      <c r="AI1002" t="str">
        <f t="shared" si="93"/>
        <v>1. Under 3K</v>
      </c>
      <c r="AJ1002" s="1" t="str">
        <f t="shared" si="94"/>
        <v>2. 2-5 yrs</v>
      </c>
      <c r="AK1002" s="1" t="str">
        <f t="shared" si="95"/>
        <v>1. Low</v>
      </c>
      <c r="AL1002" s="1" t="str">
        <f t="shared" si="96"/>
        <v>1. Bad</v>
      </c>
    </row>
    <row r="1003" spans="1:38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f t="shared" si="91"/>
        <v>0</v>
      </c>
      <c r="AH1003" t="str">
        <f t="shared" si="92"/>
        <v>36-45</v>
      </c>
      <c r="AI1003" t="str">
        <f t="shared" si="93"/>
        <v>2. 3K-6K</v>
      </c>
      <c r="AJ1003" s="1" t="str">
        <f t="shared" si="94"/>
        <v>2. 2-5 yrs</v>
      </c>
      <c r="AK1003" s="1" t="str">
        <f t="shared" si="95"/>
        <v>3. High</v>
      </c>
      <c r="AL1003" s="1" t="str">
        <f t="shared" si="96"/>
        <v>3. Better</v>
      </c>
    </row>
    <row r="1004" spans="1:38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f t="shared" si="91"/>
        <v>0</v>
      </c>
      <c r="AH1004" t="str">
        <f t="shared" si="92"/>
        <v>26-35</v>
      </c>
      <c r="AI1004" t="str">
        <f t="shared" si="93"/>
        <v>3. 6K-10K</v>
      </c>
      <c r="AJ1004" s="1" t="str">
        <f t="shared" si="94"/>
        <v>2. 2-5 yrs</v>
      </c>
      <c r="AK1004" s="1" t="str">
        <f t="shared" si="95"/>
        <v>4. Very High</v>
      </c>
      <c r="AL1004" s="1" t="str">
        <f t="shared" si="96"/>
        <v>3. Better</v>
      </c>
    </row>
    <row r="1005" spans="1:38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f t="shared" si="91"/>
        <v>0</v>
      </c>
      <c r="AH1005" t="str">
        <f t="shared" si="92"/>
        <v>18-25</v>
      </c>
      <c r="AI1005" t="str">
        <f t="shared" si="93"/>
        <v>2. 3K-6K</v>
      </c>
      <c r="AJ1005" s="1" t="str">
        <f t="shared" si="94"/>
        <v>2. 2-5 yrs</v>
      </c>
      <c r="AK1005" s="1" t="str">
        <f t="shared" si="95"/>
        <v>4. Very High</v>
      </c>
      <c r="AL1005" s="1" t="str">
        <f t="shared" si="96"/>
        <v>2. Good</v>
      </c>
    </row>
    <row r="1006" spans="1:38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f t="shared" si="91"/>
        <v>0</v>
      </c>
      <c r="AH1006" t="str">
        <f t="shared" si="92"/>
        <v>26-35</v>
      </c>
      <c r="AI1006" t="str">
        <f t="shared" si="93"/>
        <v>2. 3K-6K</v>
      </c>
      <c r="AJ1006" s="1" t="str">
        <f t="shared" si="94"/>
        <v>3. 6-10 yrs</v>
      </c>
      <c r="AK1006" s="1" t="str">
        <f t="shared" si="95"/>
        <v>1. Low</v>
      </c>
      <c r="AL1006" s="1" t="str">
        <f t="shared" si="96"/>
        <v>3. Better</v>
      </c>
    </row>
    <row r="1007" spans="1:38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f t="shared" si="91"/>
        <v>0</v>
      </c>
      <c r="AH1007" t="str">
        <f t="shared" si="92"/>
        <v>26-35</v>
      </c>
      <c r="AI1007" t="str">
        <f t="shared" si="93"/>
        <v>3. 6K-10K</v>
      </c>
      <c r="AJ1007" s="1" t="str">
        <f t="shared" si="94"/>
        <v>3. 6-10 yrs</v>
      </c>
      <c r="AK1007" s="1" t="str">
        <f t="shared" si="95"/>
        <v>1. Low</v>
      </c>
      <c r="AL1007" s="1" t="str">
        <f t="shared" si="96"/>
        <v>2. Good</v>
      </c>
    </row>
    <row r="1008" spans="1:38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f t="shared" si="91"/>
        <v>1</v>
      </c>
      <c r="AH1008" t="str">
        <f t="shared" si="92"/>
        <v>46-55</v>
      </c>
      <c r="AI1008" t="str">
        <f t="shared" si="93"/>
        <v>2. 3K-6K</v>
      </c>
      <c r="AJ1008" s="1" t="str">
        <f t="shared" si="94"/>
        <v>2. 2-5 yrs</v>
      </c>
      <c r="AK1008" s="1" t="str">
        <f t="shared" si="95"/>
        <v>1. Low</v>
      </c>
      <c r="AL1008" s="1" t="str">
        <f t="shared" si="96"/>
        <v>3. Better</v>
      </c>
    </row>
    <row r="1009" spans="1:38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f t="shared" si="91"/>
        <v>1</v>
      </c>
      <c r="AH1009" t="str">
        <f t="shared" si="92"/>
        <v>26-35</v>
      </c>
      <c r="AI1009" t="str">
        <f t="shared" si="93"/>
        <v>3. 6K-10K</v>
      </c>
      <c r="AJ1009" s="1" t="str">
        <f t="shared" si="94"/>
        <v>3. 6-10 yrs</v>
      </c>
      <c r="AK1009" s="1" t="str">
        <f t="shared" si="95"/>
        <v>4. Very High</v>
      </c>
      <c r="AL1009" s="1" t="str">
        <f t="shared" si="96"/>
        <v>3. Better</v>
      </c>
    </row>
    <row r="1010" spans="1:38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f t="shared" si="91"/>
        <v>0</v>
      </c>
      <c r="AH1010" t="str">
        <f t="shared" si="92"/>
        <v>46-55</v>
      </c>
      <c r="AI1010" t="str">
        <f t="shared" si="93"/>
        <v>4. 10K+</v>
      </c>
      <c r="AJ1010" s="1" t="str">
        <f t="shared" si="94"/>
        <v>4. 10+ yrs</v>
      </c>
      <c r="AK1010" s="1" t="str">
        <f t="shared" si="95"/>
        <v>4. Very High</v>
      </c>
      <c r="AL1010" s="1" t="str">
        <f t="shared" si="96"/>
        <v>2. Good</v>
      </c>
    </row>
    <row r="1011" spans="1:38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f t="shared" si="91"/>
        <v>0</v>
      </c>
      <c r="AH1011" t="str">
        <f t="shared" si="92"/>
        <v>56+</v>
      </c>
      <c r="AI1011" t="str">
        <f t="shared" si="93"/>
        <v>4. 10K+</v>
      </c>
      <c r="AJ1011" s="1" t="str">
        <f t="shared" si="94"/>
        <v>3. 6-10 yrs</v>
      </c>
      <c r="AK1011" s="1" t="str">
        <f t="shared" si="95"/>
        <v>1. Low</v>
      </c>
      <c r="AL1011" s="1" t="str">
        <f t="shared" si="96"/>
        <v>3. Better</v>
      </c>
    </row>
    <row r="1012" spans="1:38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f t="shared" si="91"/>
        <v>0</v>
      </c>
      <c r="AH1012" t="str">
        <f t="shared" si="92"/>
        <v>46-55</v>
      </c>
      <c r="AI1012" t="str">
        <f t="shared" si="93"/>
        <v>4. 10K+</v>
      </c>
      <c r="AJ1012" s="1" t="str">
        <f t="shared" si="94"/>
        <v>3. 6-10 yrs</v>
      </c>
      <c r="AK1012" s="1" t="str">
        <f t="shared" si="95"/>
        <v>4. Very High</v>
      </c>
      <c r="AL1012" s="1" t="str">
        <f t="shared" si="96"/>
        <v>4. Best</v>
      </c>
    </row>
    <row r="1013" spans="1:38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f t="shared" si="91"/>
        <v>0</v>
      </c>
      <c r="AH1013" t="str">
        <f t="shared" si="92"/>
        <v>36-45</v>
      </c>
      <c r="AI1013" t="str">
        <f t="shared" si="93"/>
        <v>3. 6K-10K</v>
      </c>
      <c r="AJ1013" s="1" t="str">
        <f t="shared" si="94"/>
        <v>2. 2-5 yrs</v>
      </c>
      <c r="AK1013" s="1" t="str">
        <f t="shared" si="95"/>
        <v>2. Medium</v>
      </c>
      <c r="AL1013" s="1" t="str">
        <f t="shared" si="96"/>
        <v>3. Better</v>
      </c>
    </row>
    <row r="1014" spans="1:38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f t="shared" si="91"/>
        <v>1</v>
      </c>
      <c r="AH1014" t="str">
        <f t="shared" si="92"/>
        <v>26-35</v>
      </c>
      <c r="AI1014" t="str">
        <f t="shared" si="93"/>
        <v>1. Under 3K</v>
      </c>
      <c r="AJ1014" s="1" t="str">
        <f t="shared" si="94"/>
        <v>1. 0-1 yrs</v>
      </c>
      <c r="AK1014" s="1" t="str">
        <f t="shared" si="95"/>
        <v>3. High</v>
      </c>
      <c r="AL1014" s="1" t="str">
        <f t="shared" si="96"/>
        <v>3. Better</v>
      </c>
    </row>
    <row r="1015" spans="1:38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f t="shared" si="91"/>
        <v>0</v>
      </c>
      <c r="AH1015" t="str">
        <f t="shared" si="92"/>
        <v>26-35</v>
      </c>
      <c r="AI1015" t="str">
        <f t="shared" si="93"/>
        <v>2. 3K-6K</v>
      </c>
      <c r="AJ1015" s="1" t="str">
        <f t="shared" si="94"/>
        <v>2. 2-5 yrs</v>
      </c>
      <c r="AK1015" s="1" t="str">
        <f t="shared" si="95"/>
        <v>1. Low</v>
      </c>
      <c r="AL1015" s="1" t="str">
        <f t="shared" si="96"/>
        <v>3. Better</v>
      </c>
    </row>
    <row r="1016" spans="1:38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f t="shared" si="91"/>
        <v>0</v>
      </c>
      <c r="AH1016" t="str">
        <f t="shared" si="92"/>
        <v>26-35</v>
      </c>
      <c r="AI1016" t="str">
        <f t="shared" si="93"/>
        <v>4. 10K+</v>
      </c>
      <c r="AJ1016" s="1" t="str">
        <f t="shared" si="94"/>
        <v>2. 2-5 yrs</v>
      </c>
      <c r="AK1016" s="1" t="str">
        <f t="shared" si="95"/>
        <v>2. Medium</v>
      </c>
      <c r="AL1016" s="1" t="str">
        <f t="shared" si="96"/>
        <v>4. Best</v>
      </c>
    </row>
    <row r="1017" spans="1:38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f t="shared" si="91"/>
        <v>0</v>
      </c>
      <c r="AH1017" t="str">
        <f t="shared" si="92"/>
        <v>26-35</v>
      </c>
      <c r="AI1017" t="str">
        <f t="shared" si="93"/>
        <v>1. Under 3K</v>
      </c>
      <c r="AJ1017" s="1" t="str">
        <f t="shared" si="94"/>
        <v>2. 2-5 yrs</v>
      </c>
      <c r="AK1017" s="1" t="str">
        <f t="shared" si="95"/>
        <v>1. Low</v>
      </c>
      <c r="AL1017" s="1" t="str">
        <f t="shared" si="96"/>
        <v>3. Better</v>
      </c>
    </row>
    <row r="1018" spans="1:38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f t="shared" si="91"/>
        <v>1</v>
      </c>
      <c r="AH1018" t="str">
        <f t="shared" si="92"/>
        <v>26-35</v>
      </c>
      <c r="AI1018" t="str">
        <f t="shared" si="93"/>
        <v>1. Under 3K</v>
      </c>
      <c r="AJ1018" s="1" t="str">
        <f t="shared" si="94"/>
        <v>1. 0-1 yrs</v>
      </c>
      <c r="AK1018" s="1" t="str">
        <f t="shared" si="95"/>
        <v>2. Medium</v>
      </c>
      <c r="AL1018" s="1" t="str">
        <f t="shared" si="96"/>
        <v>4. Best</v>
      </c>
    </row>
    <row r="1019" spans="1:38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f t="shared" si="91"/>
        <v>0</v>
      </c>
      <c r="AH1019" t="str">
        <f t="shared" si="92"/>
        <v>26-35</v>
      </c>
      <c r="AI1019" t="str">
        <f t="shared" si="93"/>
        <v>1. Under 3K</v>
      </c>
      <c r="AJ1019" s="1" t="str">
        <f t="shared" si="94"/>
        <v>2. 2-5 yrs</v>
      </c>
      <c r="AK1019" s="1" t="str">
        <f t="shared" si="95"/>
        <v>1. Low</v>
      </c>
      <c r="AL1019" s="1" t="str">
        <f t="shared" si="96"/>
        <v>4. Best</v>
      </c>
    </row>
    <row r="1020" spans="1:38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f t="shared" si="91"/>
        <v>0</v>
      </c>
      <c r="AH1020" t="str">
        <f t="shared" si="92"/>
        <v>36-45</v>
      </c>
      <c r="AI1020" t="str">
        <f t="shared" si="93"/>
        <v>2. 3K-6K</v>
      </c>
      <c r="AJ1020" s="1" t="str">
        <f t="shared" si="94"/>
        <v>3. 6-10 yrs</v>
      </c>
      <c r="AK1020" s="1" t="str">
        <f t="shared" si="95"/>
        <v>4. Very High</v>
      </c>
      <c r="AL1020" s="1" t="str">
        <f t="shared" si="96"/>
        <v>2. Good</v>
      </c>
    </row>
    <row r="1021" spans="1:38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f t="shared" si="91"/>
        <v>0</v>
      </c>
      <c r="AH1021" t="str">
        <f t="shared" si="92"/>
        <v>36-45</v>
      </c>
      <c r="AI1021" t="str">
        <f t="shared" si="93"/>
        <v>2. 3K-6K</v>
      </c>
      <c r="AJ1021" s="1" t="str">
        <f t="shared" si="94"/>
        <v>2. 2-5 yrs</v>
      </c>
      <c r="AK1021" s="1" t="str">
        <f t="shared" si="95"/>
        <v>1. Low</v>
      </c>
      <c r="AL1021" s="1" t="str">
        <f t="shared" si="96"/>
        <v>2. Good</v>
      </c>
    </row>
    <row r="1022" spans="1:38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f t="shared" si="91"/>
        <v>0</v>
      </c>
      <c r="AH1022" t="str">
        <f t="shared" si="92"/>
        <v>46-55</v>
      </c>
      <c r="AI1022" t="str">
        <f t="shared" si="93"/>
        <v>2. 3K-6K</v>
      </c>
      <c r="AJ1022" s="1" t="str">
        <f t="shared" si="94"/>
        <v>3. 6-10 yrs</v>
      </c>
      <c r="AK1022" s="1" t="str">
        <f t="shared" si="95"/>
        <v>4. Very High</v>
      </c>
      <c r="AL1022" s="1" t="str">
        <f t="shared" si="96"/>
        <v>2. Good</v>
      </c>
    </row>
    <row r="1023" spans="1:38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f t="shared" si="91"/>
        <v>1</v>
      </c>
      <c r="AH1023" t="str">
        <f t="shared" si="92"/>
        <v>18-25</v>
      </c>
      <c r="AI1023" t="str">
        <f t="shared" si="93"/>
        <v>2. 3K-6K</v>
      </c>
      <c r="AJ1023" s="1" t="str">
        <f t="shared" si="94"/>
        <v>2. 2-5 yrs</v>
      </c>
      <c r="AK1023" s="1" t="str">
        <f t="shared" si="95"/>
        <v>1. Low</v>
      </c>
      <c r="AL1023" s="1" t="str">
        <f t="shared" si="96"/>
        <v>3. Better</v>
      </c>
    </row>
    <row r="1024" spans="1:38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f t="shared" si="91"/>
        <v>0</v>
      </c>
      <c r="AH1024" t="str">
        <f t="shared" si="92"/>
        <v>36-45</v>
      </c>
      <c r="AI1024" t="str">
        <f t="shared" si="93"/>
        <v>2. 3K-6K</v>
      </c>
      <c r="AJ1024" s="1" t="str">
        <f t="shared" si="94"/>
        <v>3. 6-10 yrs</v>
      </c>
      <c r="AK1024" s="1" t="str">
        <f t="shared" si="95"/>
        <v>3. High</v>
      </c>
      <c r="AL1024" s="1" t="str">
        <f t="shared" si="96"/>
        <v>1. Bad</v>
      </c>
    </row>
    <row r="1025" spans="1:38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f t="shared" si="91"/>
        <v>0</v>
      </c>
      <c r="AH1025" t="str">
        <f t="shared" si="92"/>
        <v>56+</v>
      </c>
      <c r="AI1025" t="str">
        <f t="shared" si="93"/>
        <v>1. Under 3K</v>
      </c>
      <c r="AJ1025" s="1" t="str">
        <f t="shared" si="94"/>
        <v>2. 2-5 yrs</v>
      </c>
      <c r="AK1025" s="1" t="str">
        <f t="shared" si="95"/>
        <v>1. Low</v>
      </c>
      <c r="AL1025" s="1" t="str">
        <f t="shared" si="96"/>
        <v>4. Best</v>
      </c>
    </row>
    <row r="1026" spans="1:38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f t="shared" ref="AG1026:AG1089" si="97">IF(B1026="Yes",1,0)</f>
        <v>0</v>
      </c>
      <c r="AH1026" t="str">
        <f t="shared" ref="AH1026:AH1089" si="98">IF(A1026&lt;26,"18-25",IF(A1026&lt;36,"26-35",IF(A1026&lt;46,"36-45",IF(A1026&lt;56,"46-55","56+"))))</f>
        <v>46-55</v>
      </c>
      <c r="AI1026" t="str">
        <f t="shared" ref="AI1026:AI1089" si="99">IF(R1026&lt;3000,"1. Under 3K",IF(R1026&lt;6000,"2. 3K-6K",IF(R1026&lt;10000,"3. 6K-10K","4. 10K+")))</f>
        <v>4. 10K+</v>
      </c>
      <c r="AJ1026" s="1" t="str">
        <f t="shared" ref="AJ1026:AJ1089" si="100">IF(AC1026&lt;2,"1. 0-1 yrs",IF(AC1026&lt;6,"2. 2-5 yrs",IF(AC1026&lt;11,"3. 6-10 yrs","4. 10+ yrs")))</f>
        <v>4. 10+ yrs</v>
      </c>
      <c r="AK1026" s="1" t="str">
        <f t="shared" ref="AK1026:AK1089" si="101">CHOOSE(P1026,"1. Low","2. Medium","3. High","4. Very High")</f>
        <v>3. High</v>
      </c>
      <c r="AL1026" s="1" t="str">
        <f t="shared" ref="AL1026:AL1089" si="102">CHOOSE(AB1026,"1. Bad","2. Good","3. Better","4. Best")</f>
        <v>4. Best</v>
      </c>
    </row>
    <row r="1027" spans="1:38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f t="shared" si="97"/>
        <v>0</v>
      </c>
      <c r="AH1027" t="str">
        <f t="shared" si="98"/>
        <v>18-25</v>
      </c>
      <c r="AI1027" t="str">
        <f t="shared" si="99"/>
        <v>2. 3K-6K</v>
      </c>
      <c r="AJ1027" s="1" t="str">
        <f t="shared" si="100"/>
        <v>2. 2-5 yrs</v>
      </c>
      <c r="AK1027" s="1" t="str">
        <f t="shared" si="101"/>
        <v>3. High</v>
      </c>
      <c r="AL1027" s="1" t="str">
        <f t="shared" si="102"/>
        <v>3. Better</v>
      </c>
    </row>
    <row r="1028" spans="1:38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f t="shared" si="97"/>
        <v>0</v>
      </c>
      <c r="AH1028" t="str">
        <f t="shared" si="98"/>
        <v>26-35</v>
      </c>
      <c r="AI1028" t="str">
        <f t="shared" si="99"/>
        <v>3. 6K-10K</v>
      </c>
      <c r="AJ1028" s="1" t="str">
        <f t="shared" si="100"/>
        <v>2. 2-5 yrs</v>
      </c>
      <c r="AK1028" s="1" t="str">
        <f t="shared" si="101"/>
        <v>4. Very High</v>
      </c>
      <c r="AL1028" s="1" t="str">
        <f t="shared" si="102"/>
        <v>2. Good</v>
      </c>
    </row>
    <row r="1029" spans="1:38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f t="shared" si="97"/>
        <v>0</v>
      </c>
      <c r="AH1029" t="str">
        <f t="shared" si="98"/>
        <v>26-35</v>
      </c>
      <c r="AI1029" t="str">
        <f t="shared" si="99"/>
        <v>2. 3K-6K</v>
      </c>
      <c r="AJ1029" s="1" t="str">
        <f t="shared" si="100"/>
        <v>2. 2-5 yrs</v>
      </c>
      <c r="AK1029" s="1" t="str">
        <f t="shared" si="101"/>
        <v>2. Medium</v>
      </c>
      <c r="AL1029" s="1" t="str">
        <f t="shared" si="102"/>
        <v>2. Good</v>
      </c>
    </row>
    <row r="1030" spans="1:38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f t="shared" si="97"/>
        <v>0</v>
      </c>
      <c r="AH1030" t="str">
        <f t="shared" si="98"/>
        <v>36-45</v>
      </c>
      <c r="AI1030" t="str">
        <f t="shared" si="99"/>
        <v>1. Under 3K</v>
      </c>
      <c r="AJ1030" s="1" t="str">
        <f t="shared" si="100"/>
        <v>2. 2-5 yrs</v>
      </c>
      <c r="AK1030" s="1" t="str">
        <f t="shared" si="101"/>
        <v>3. High</v>
      </c>
      <c r="AL1030" s="1" t="str">
        <f t="shared" si="102"/>
        <v>2. Good</v>
      </c>
    </row>
    <row r="1031" spans="1:38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f t="shared" si="97"/>
        <v>0</v>
      </c>
      <c r="AH1031" t="str">
        <f t="shared" si="98"/>
        <v>36-45</v>
      </c>
      <c r="AI1031" t="str">
        <f t="shared" si="99"/>
        <v>2. 3K-6K</v>
      </c>
      <c r="AJ1031" s="1" t="str">
        <f t="shared" si="100"/>
        <v>3. 6-10 yrs</v>
      </c>
      <c r="AK1031" s="1" t="str">
        <f t="shared" si="101"/>
        <v>3. High</v>
      </c>
      <c r="AL1031" s="1" t="str">
        <f t="shared" si="102"/>
        <v>4. Best</v>
      </c>
    </row>
    <row r="1032" spans="1:38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f t="shared" si="97"/>
        <v>0</v>
      </c>
      <c r="AH1032" t="str">
        <f t="shared" si="98"/>
        <v>26-35</v>
      </c>
      <c r="AI1032" t="str">
        <f t="shared" si="99"/>
        <v>4. 10K+</v>
      </c>
      <c r="AJ1032" s="1" t="str">
        <f t="shared" si="100"/>
        <v>4. 10+ yrs</v>
      </c>
      <c r="AK1032" s="1" t="str">
        <f t="shared" si="101"/>
        <v>4. Very High</v>
      </c>
      <c r="AL1032" s="1" t="str">
        <f t="shared" si="102"/>
        <v>3. Better</v>
      </c>
    </row>
    <row r="1033" spans="1:38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f t="shared" si="97"/>
        <v>1</v>
      </c>
      <c r="AH1033" t="str">
        <f t="shared" si="98"/>
        <v>46-55</v>
      </c>
      <c r="AI1033" t="str">
        <f t="shared" si="99"/>
        <v>4. 10K+</v>
      </c>
      <c r="AJ1033" s="1" t="str">
        <f t="shared" si="100"/>
        <v>3. 6-10 yrs</v>
      </c>
      <c r="AK1033" s="1" t="str">
        <f t="shared" si="101"/>
        <v>4. Very High</v>
      </c>
      <c r="AL1033" s="1" t="str">
        <f t="shared" si="102"/>
        <v>4. Best</v>
      </c>
    </row>
    <row r="1034" spans="1:38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f t="shared" si="97"/>
        <v>1</v>
      </c>
      <c r="AH1034" t="str">
        <f t="shared" si="98"/>
        <v>36-45</v>
      </c>
      <c r="AI1034" t="str">
        <f t="shared" si="99"/>
        <v>2. 3K-6K</v>
      </c>
      <c r="AJ1034" s="1" t="str">
        <f t="shared" si="100"/>
        <v>1. 0-1 yrs</v>
      </c>
      <c r="AK1034" s="1" t="str">
        <f t="shared" si="101"/>
        <v>1. Low</v>
      </c>
      <c r="AL1034" s="1" t="str">
        <f t="shared" si="102"/>
        <v>4. Best</v>
      </c>
    </row>
    <row r="1035" spans="1:38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f t="shared" si="97"/>
        <v>1</v>
      </c>
      <c r="AH1035" t="str">
        <f t="shared" si="98"/>
        <v>26-35</v>
      </c>
      <c r="AI1035" t="str">
        <f t="shared" si="99"/>
        <v>3. 6K-10K</v>
      </c>
      <c r="AJ1035" s="1" t="str">
        <f t="shared" si="100"/>
        <v>3. 6-10 yrs</v>
      </c>
      <c r="AK1035" s="1" t="str">
        <f t="shared" si="101"/>
        <v>2. Medium</v>
      </c>
      <c r="AL1035" s="1" t="str">
        <f t="shared" si="102"/>
        <v>3. Better</v>
      </c>
    </row>
    <row r="1036" spans="1:38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f t="shared" si="97"/>
        <v>0</v>
      </c>
      <c r="AH1036" t="str">
        <f t="shared" si="98"/>
        <v>36-45</v>
      </c>
      <c r="AI1036" t="str">
        <f t="shared" si="99"/>
        <v>4. 10K+</v>
      </c>
      <c r="AJ1036" s="1" t="str">
        <f t="shared" si="100"/>
        <v>3. 6-10 yrs</v>
      </c>
      <c r="AK1036" s="1" t="str">
        <f t="shared" si="101"/>
        <v>1. Low</v>
      </c>
      <c r="AL1036" s="1" t="str">
        <f t="shared" si="102"/>
        <v>3. Better</v>
      </c>
    </row>
    <row r="1037" spans="1:38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f t="shared" si="97"/>
        <v>0</v>
      </c>
      <c r="AH1037" t="str">
        <f t="shared" si="98"/>
        <v>26-35</v>
      </c>
      <c r="AI1037" t="str">
        <f t="shared" si="99"/>
        <v>1. Under 3K</v>
      </c>
      <c r="AJ1037" s="1" t="str">
        <f t="shared" si="100"/>
        <v>2. 2-5 yrs</v>
      </c>
      <c r="AK1037" s="1" t="str">
        <f t="shared" si="101"/>
        <v>2. Medium</v>
      </c>
      <c r="AL1037" s="1" t="str">
        <f t="shared" si="102"/>
        <v>3. Better</v>
      </c>
    </row>
    <row r="1038" spans="1:38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f t="shared" si="97"/>
        <v>1</v>
      </c>
      <c r="AH1038" t="str">
        <f t="shared" si="98"/>
        <v>26-35</v>
      </c>
      <c r="AI1038" t="str">
        <f t="shared" si="99"/>
        <v>2. 3K-6K</v>
      </c>
      <c r="AJ1038" s="1" t="str">
        <f t="shared" si="100"/>
        <v>2. 2-5 yrs</v>
      </c>
      <c r="AK1038" s="1" t="str">
        <f t="shared" si="101"/>
        <v>4. Very High</v>
      </c>
      <c r="AL1038" s="1" t="str">
        <f t="shared" si="102"/>
        <v>1. Bad</v>
      </c>
    </row>
    <row r="1039" spans="1:38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f t="shared" si="97"/>
        <v>0</v>
      </c>
      <c r="AH1039" t="str">
        <f t="shared" si="98"/>
        <v>36-45</v>
      </c>
      <c r="AI1039" t="str">
        <f t="shared" si="99"/>
        <v>3. 6K-10K</v>
      </c>
      <c r="AJ1039" s="1" t="str">
        <f t="shared" si="100"/>
        <v>2. 2-5 yrs</v>
      </c>
      <c r="AK1039" s="1" t="str">
        <f t="shared" si="101"/>
        <v>4. Very High</v>
      </c>
      <c r="AL1039" s="1" t="str">
        <f t="shared" si="102"/>
        <v>4. Best</v>
      </c>
    </row>
    <row r="1040" spans="1:38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f t="shared" si="97"/>
        <v>0</v>
      </c>
      <c r="AH1040" t="str">
        <f t="shared" si="98"/>
        <v>46-55</v>
      </c>
      <c r="AI1040" t="str">
        <f t="shared" si="99"/>
        <v>2. 3K-6K</v>
      </c>
      <c r="AJ1040" s="1" t="str">
        <f t="shared" si="100"/>
        <v>2. 2-5 yrs</v>
      </c>
      <c r="AK1040" s="1" t="str">
        <f t="shared" si="101"/>
        <v>1. Low</v>
      </c>
      <c r="AL1040" s="1" t="str">
        <f t="shared" si="102"/>
        <v>3. Better</v>
      </c>
    </row>
    <row r="1041" spans="1:38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f t="shared" si="97"/>
        <v>1</v>
      </c>
      <c r="AH1041" t="str">
        <f t="shared" si="98"/>
        <v>26-35</v>
      </c>
      <c r="AI1041" t="str">
        <f t="shared" si="99"/>
        <v>1. Under 3K</v>
      </c>
      <c r="AJ1041" s="1" t="str">
        <f t="shared" si="100"/>
        <v>2. 2-5 yrs</v>
      </c>
      <c r="AK1041" s="1" t="str">
        <f t="shared" si="101"/>
        <v>3. High</v>
      </c>
      <c r="AL1041" s="1" t="str">
        <f t="shared" si="102"/>
        <v>3. Better</v>
      </c>
    </row>
    <row r="1042" spans="1:38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f t="shared" si="97"/>
        <v>0</v>
      </c>
      <c r="AH1042" t="str">
        <f t="shared" si="98"/>
        <v>36-45</v>
      </c>
      <c r="AI1042" t="str">
        <f t="shared" si="99"/>
        <v>4. 10K+</v>
      </c>
      <c r="AJ1042" s="1" t="str">
        <f t="shared" si="100"/>
        <v>3. 6-10 yrs</v>
      </c>
      <c r="AK1042" s="1" t="str">
        <f t="shared" si="101"/>
        <v>2. Medium</v>
      </c>
      <c r="AL1042" s="1" t="str">
        <f t="shared" si="102"/>
        <v>3. Better</v>
      </c>
    </row>
    <row r="1043" spans="1:38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f t="shared" si="97"/>
        <v>0</v>
      </c>
      <c r="AH1043" t="str">
        <f t="shared" si="98"/>
        <v>26-35</v>
      </c>
      <c r="AI1043" t="str">
        <f t="shared" si="99"/>
        <v>3. 6K-10K</v>
      </c>
      <c r="AJ1043" s="1" t="str">
        <f t="shared" si="100"/>
        <v>2. 2-5 yrs</v>
      </c>
      <c r="AK1043" s="1" t="str">
        <f t="shared" si="101"/>
        <v>1. Low</v>
      </c>
      <c r="AL1043" s="1" t="str">
        <f t="shared" si="102"/>
        <v>3. Better</v>
      </c>
    </row>
    <row r="1044" spans="1:38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f t="shared" si="97"/>
        <v>0</v>
      </c>
      <c r="AH1044" t="str">
        <f t="shared" si="98"/>
        <v>36-45</v>
      </c>
      <c r="AI1044" t="str">
        <f t="shared" si="99"/>
        <v>2. 3K-6K</v>
      </c>
      <c r="AJ1044" s="1" t="str">
        <f t="shared" si="100"/>
        <v>2. 2-5 yrs</v>
      </c>
      <c r="AK1044" s="1" t="str">
        <f t="shared" si="101"/>
        <v>3. High</v>
      </c>
      <c r="AL1044" s="1" t="str">
        <f t="shared" si="102"/>
        <v>3. Better</v>
      </c>
    </row>
    <row r="1045" spans="1:38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f t="shared" si="97"/>
        <v>0</v>
      </c>
      <c r="AH1045" t="str">
        <f t="shared" si="98"/>
        <v>46-55</v>
      </c>
      <c r="AI1045" t="str">
        <f t="shared" si="99"/>
        <v>4. 10K+</v>
      </c>
      <c r="AJ1045" s="1" t="str">
        <f t="shared" si="100"/>
        <v>3. 6-10 yrs</v>
      </c>
      <c r="AK1045" s="1" t="str">
        <f t="shared" si="101"/>
        <v>2. Medium</v>
      </c>
      <c r="AL1045" s="1" t="str">
        <f t="shared" si="102"/>
        <v>2. Good</v>
      </c>
    </row>
    <row r="1046" spans="1:38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f t="shared" si="97"/>
        <v>0</v>
      </c>
      <c r="AH1046" t="str">
        <f t="shared" si="98"/>
        <v>46-55</v>
      </c>
      <c r="AI1046" t="str">
        <f t="shared" si="99"/>
        <v>3. 6K-10K</v>
      </c>
      <c r="AJ1046" s="1" t="str">
        <f t="shared" si="100"/>
        <v>2. 2-5 yrs</v>
      </c>
      <c r="AK1046" s="1" t="str">
        <f t="shared" si="101"/>
        <v>3. High</v>
      </c>
      <c r="AL1046" s="1" t="str">
        <f t="shared" si="102"/>
        <v>2. Good</v>
      </c>
    </row>
    <row r="1047" spans="1:38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f t="shared" si="97"/>
        <v>0</v>
      </c>
      <c r="AH1047" t="str">
        <f t="shared" si="98"/>
        <v>36-45</v>
      </c>
      <c r="AI1047" t="str">
        <f t="shared" si="99"/>
        <v>1. Under 3K</v>
      </c>
      <c r="AJ1047" s="1" t="str">
        <f t="shared" si="100"/>
        <v>2. 2-5 yrs</v>
      </c>
      <c r="AK1047" s="1" t="str">
        <f t="shared" si="101"/>
        <v>3. High</v>
      </c>
      <c r="AL1047" s="1" t="str">
        <f t="shared" si="102"/>
        <v>4. Best</v>
      </c>
    </row>
    <row r="1048" spans="1:38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f t="shared" si="97"/>
        <v>0</v>
      </c>
      <c r="AH1048" t="str">
        <f t="shared" si="98"/>
        <v>36-45</v>
      </c>
      <c r="AI1048" t="str">
        <f t="shared" si="99"/>
        <v>2. 3K-6K</v>
      </c>
      <c r="AJ1048" s="1" t="str">
        <f t="shared" si="100"/>
        <v>2. 2-5 yrs</v>
      </c>
      <c r="AK1048" s="1" t="str">
        <f t="shared" si="101"/>
        <v>2. Medium</v>
      </c>
      <c r="AL1048" s="1" t="str">
        <f t="shared" si="102"/>
        <v>2. Good</v>
      </c>
    </row>
    <row r="1049" spans="1:38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f t="shared" si="97"/>
        <v>0</v>
      </c>
      <c r="AH1049" t="str">
        <f t="shared" si="98"/>
        <v>26-35</v>
      </c>
      <c r="AI1049" t="str">
        <f t="shared" si="99"/>
        <v>2. 3K-6K</v>
      </c>
      <c r="AJ1049" s="1" t="str">
        <f t="shared" si="100"/>
        <v>2. 2-5 yrs</v>
      </c>
      <c r="AK1049" s="1" t="str">
        <f t="shared" si="101"/>
        <v>1. Low</v>
      </c>
      <c r="AL1049" s="1" t="str">
        <f t="shared" si="102"/>
        <v>3. Better</v>
      </c>
    </row>
    <row r="1050" spans="1:38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f t="shared" si="97"/>
        <v>0</v>
      </c>
      <c r="AH1050" t="str">
        <f t="shared" si="98"/>
        <v>26-35</v>
      </c>
      <c r="AI1050" t="str">
        <f t="shared" si="99"/>
        <v>2. 3K-6K</v>
      </c>
      <c r="AJ1050" s="1" t="str">
        <f t="shared" si="100"/>
        <v>4. 10+ yrs</v>
      </c>
      <c r="AK1050" s="1" t="str">
        <f t="shared" si="101"/>
        <v>1. Low</v>
      </c>
      <c r="AL1050" s="1" t="str">
        <f t="shared" si="102"/>
        <v>3. Better</v>
      </c>
    </row>
    <row r="1051" spans="1:38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f t="shared" si="97"/>
        <v>0</v>
      </c>
      <c r="AH1051" t="str">
        <f t="shared" si="98"/>
        <v>26-35</v>
      </c>
      <c r="AI1051" t="str">
        <f t="shared" si="99"/>
        <v>2. 3K-6K</v>
      </c>
      <c r="AJ1051" s="1" t="str">
        <f t="shared" si="100"/>
        <v>2. 2-5 yrs</v>
      </c>
      <c r="AK1051" s="1" t="str">
        <f t="shared" si="101"/>
        <v>3. High</v>
      </c>
      <c r="AL1051" s="1" t="str">
        <f t="shared" si="102"/>
        <v>2. Good</v>
      </c>
    </row>
    <row r="1052" spans="1:38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f t="shared" si="97"/>
        <v>0</v>
      </c>
      <c r="AH1052" t="str">
        <f t="shared" si="98"/>
        <v>36-45</v>
      </c>
      <c r="AI1052" t="str">
        <f t="shared" si="99"/>
        <v>2. 3K-6K</v>
      </c>
      <c r="AJ1052" s="1" t="str">
        <f t="shared" si="100"/>
        <v>4. 10+ yrs</v>
      </c>
      <c r="AK1052" s="1" t="str">
        <f t="shared" si="101"/>
        <v>4. Very High</v>
      </c>
      <c r="AL1052" s="1" t="str">
        <f t="shared" si="102"/>
        <v>3. Better</v>
      </c>
    </row>
    <row r="1053" spans="1:38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f t="shared" si="97"/>
        <v>0</v>
      </c>
      <c r="AH1053" t="str">
        <f t="shared" si="98"/>
        <v>36-45</v>
      </c>
      <c r="AI1053" t="str">
        <f t="shared" si="99"/>
        <v>2. 3K-6K</v>
      </c>
      <c r="AJ1053" s="1" t="str">
        <f t="shared" si="100"/>
        <v>1. 0-1 yrs</v>
      </c>
      <c r="AK1053" s="1" t="str">
        <f t="shared" si="101"/>
        <v>3. High</v>
      </c>
      <c r="AL1053" s="1" t="str">
        <f t="shared" si="102"/>
        <v>2. Good</v>
      </c>
    </row>
    <row r="1054" spans="1:38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f t="shared" si="97"/>
        <v>0</v>
      </c>
      <c r="AH1054" t="str">
        <f t="shared" si="98"/>
        <v>26-35</v>
      </c>
      <c r="AI1054" t="str">
        <f t="shared" si="99"/>
        <v>1. Under 3K</v>
      </c>
      <c r="AJ1054" s="1" t="str">
        <f t="shared" si="100"/>
        <v>1. 0-1 yrs</v>
      </c>
      <c r="AK1054" s="1" t="str">
        <f t="shared" si="101"/>
        <v>3. High</v>
      </c>
      <c r="AL1054" s="1" t="str">
        <f t="shared" si="102"/>
        <v>2. Good</v>
      </c>
    </row>
    <row r="1055" spans="1:38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f t="shared" si="97"/>
        <v>0</v>
      </c>
      <c r="AH1055" t="str">
        <f t="shared" si="98"/>
        <v>56+</v>
      </c>
      <c r="AI1055" t="str">
        <f t="shared" si="99"/>
        <v>2. 3K-6K</v>
      </c>
      <c r="AJ1055" s="1" t="str">
        <f t="shared" si="100"/>
        <v>4. 10+ yrs</v>
      </c>
      <c r="AK1055" s="1" t="str">
        <f t="shared" si="101"/>
        <v>3. High</v>
      </c>
      <c r="AL1055" s="1" t="str">
        <f t="shared" si="102"/>
        <v>2. Good</v>
      </c>
    </row>
    <row r="1056" spans="1:38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f t="shared" si="97"/>
        <v>0</v>
      </c>
      <c r="AH1056" t="str">
        <f t="shared" si="98"/>
        <v>46-55</v>
      </c>
      <c r="AI1056" t="str">
        <f t="shared" si="99"/>
        <v>4. 10K+</v>
      </c>
      <c r="AJ1056" s="1" t="str">
        <f t="shared" si="100"/>
        <v>3. 6-10 yrs</v>
      </c>
      <c r="AK1056" s="1" t="str">
        <f t="shared" si="101"/>
        <v>2. Medium</v>
      </c>
      <c r="AL1056" s="1" t="str">
        <f t="shared" si="102"/>
        <v>3. Better</v>
      </c>
    </row>
    <row r="1057" spans="1:38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f t="shared" si="97"/>
        <v>0</v>
      </c>
      <c r="AH1057" t="str">
        <f t="shared" si="98"/>
        <v>26-35</v>
      </c>
      <c r="AI1057" t="str">
        <f t="shared" si="99"/>
        <v>4. 10K+</v>
      </c>
      <c r="AJ1057" s="1" t="str">
        <f t="shared" si="100"/>
        <v>4. 10+ yrs</v>
      </c>
      <c r="AK1057" s="1" t="str">
        <f t="shared" si="101"/>
        <v>1. Low</v>
      </c>
      <c r="AL1057" s="1" t="str">
        <f t="shared" si="102"/>
        <v>2. Good</v>
      </c>
    </row>
    <row r="1058" spans="1:38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f t="shared" si="97"/>
        <v>1</v>
      </c>
      <c r="AH1058" t="str">
        <f t="shared" si="98"/>
        <v>26-35</v>
      </c>
      <c r="AI1058" t="str">
        <f t="shared" si="99"/>
        <v>1. Under 3K</v>
      </c>
      <c r="AJ1058" s="1" t="str">
        <f t="shared" si="100"/>
        <v>2. 2-5 yrs</v>
      </c>
      <c r="AK1058" s="1" t="str">
        <f t="shared" si="101"/>
        <v>3. High</v>
      </c>
      <c r="AL1058" s="1" t="str">
        <f t="shared" si="102"/>
        <v>4. Best</v>
      </c>
    </row>
    <row r="1059" spans="1:38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f t="shared" si="97"/>
        <v>1</v>
      </c>
      <c r="AH1059" t="str">
        <f t="shared" si="98"/>
        <v>26-35</v>
      </c>
      <c r="AI1059" t="str">
        <f t="shared" si="99"/>
        <v>2. 3K-6K</v>
      </c>
      <c r="AJ1059" s="1" t="str">
        <f t="shared" si="100"/>
        <v>2. 2-5 yrs</v>
      </c>
      <c r="AK1059" s="1" t="str">
        <f t="shared" si="101"/>
        <v>2. Medium</v>
      </c>
      <c r="AL1059" s="1" t="str">
        <f t="shared" si="102"/>
        <v>1. Bad</v>
      </c>
    </row>
    <row r="1060" spans="1:38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f t="shared" si="97"/>
        <v>1</v>
      </c>
      <c r="AH1060" t="str">
        <f t="shared" si="98"/>
        <v>26-35</v>
      </c>
      <c r="AI1060" t="str">
        <f t="shared" si="99"/>
        <v>2. 3K-6K</v>
      </c>
      <c r="AJ1060" s="1" t="str">
        <f t="shared" si="100"/>
        <v>4. 10+ yrs</v>
      </c>
      <c r="AK1060" s="1" t="str">
        <f t="shared" si="101"/>
        <v>2. Medium</v>
      </c>
      <c r="AL1060" s="1" t="str">
        <f t="shared" si="102"/>
        <v>4. Best</v>
      </c>
    </row>
    <row r="1061" spans="1:38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f t="shared" si="97"/>
        <v>0</v>
      </c>
      <c r="AH1061" t="str">
        <f t="shared" si="98"/>
        <v>26-35</v>
      </c>
      <c r="AI1061" t="str">
        <f t="shared" si="99"/>
        <v>1. Under 3K</v>
      </c>
      <c r="AJ1061" s="1" t="str">
        <f t="shared" si="100"/>
        <v>1. 0-1 yrs</v>
      </c>
      <c r="AK1061" s="1" t="str">
        <f t="shared" si="101"/>
        <v>3. High</v>
      </c>
      <c r="AL1061" s="1" t="str">
        <f t="shared" si="102"/>
        <v>3. Better</v>
      </c>
    </row>
    <row r="1062" spans="1:38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f t="shared" si="97"/>
        <v>1</v>
      </c>
      <c r="AH1062" t="str">
        <f t="shared" si="98"/>
        <v>18-25</v>
      </c>
      <c r="AI1062" t="str">
        <f t="shared" si="99"/>
        <v>2. 3K-6K</v>
      </c>
      <c r="AJ1062" s="1" t="str">
        <f t="shared" si="100"/>
        <v>1. 0-1 yrs</v>
      </c>
      <c r="AK1062" s="1" t="str">
        <f t="shared" si="101"/>
        <v>1. Low</v>
      </c>
      <c r="AL1062" s="1" t="str">
        <f t="shared" si="102"/>
        <v>2. Good</v>
      </c>
    </row>
    <row r="1063" spans="1:38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f t="shared" si="97"/>
        <v>0</v>
      </c>
      <c r="AH1063" t="str">
        <f t="shared" si="98"/>
        <v>18-25</v>
      </c>
      <c r="AI1063" t="str">
        <f t="shared" si="99"/>
        <v>1. Under 3K</v>
      </c>
      <c r="AJ1063" s="1" t="str">
        <f t="shared" si="100"/>
        <v>1. 0-1 yrs</v>
      </c>
      <c r="AK1063" s="1" t="str">
        <f t="shared" si="101"/>
        <v>2. Medium</v>
      </c>
      <c r="AL1063" s="1" t="str">
        <f t="shared" si="102"/>
        <v>3. Better</v>
      </c>
    </row>
    <row r="1064" spans="1:38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f t="shared" si="97"/>
        <v>0</v>
      </c>
      <c r="AH1064" t="str">
        <f t="shared" si="98"/>
        <v>36-45</v>
      </c>
      <c r="AI1064" t="str">
        <f t="shared" si="99"/>
        <v>4. 10K+</v>
      </c>
      <c r="AJ1064" s="1" t="str">
        <f t="shared" si="100"/>
        <v>2. 2-5 yrs</v>
      </c>
      <c r="AK1064" s="1" t="str">
        <f t="shared" si="101"/>
        <v>3. High</v>
      </c>
      <c r="AL1064" s="1" t="str">
        <f t="shared" si="102"/>
        <v>2. Good</v>
      </c>
    </row>
    <row r="1065" spans="1:38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f t="shared" si="97"/>
        <v>0</v>
      </c>
      <c r="AH1065" t="str">
        <f t="shared" si="98"/>
        <v>26-35</v>
      </c>
      <c r="AI1065" t="str">
        <f t="shared" si="99"/>
        <v>3. 6K-10K</v>
      </c>
      <c r="AJ1065" s="1" t="str">
        <f t="shared" si="100"/>
        <v>3. 6-10 yrs</v>
      </c>
      <c r="AK1065" s="1" t="str">
        <f t="shared" si="101"/>
        <v>3. High</v>
      </c>
      <c r="AL1065" s="1" t="str">
        <f t="shared" si="102"/>
        <v>3. Better</v>
      </c>
    </row>
    <row r="1066" spans="1:38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f t="shared" si="97"/>
        <v>0</v>
      </c>
      <c r="AH1066" t="str">
        <f t="shared" si="98"/>
        <v>26-35</v>
      </c>
      <c r="AI1066" t="str">
        <f t="shared" si="99"/>
        <v>1. Under 3K</v>
      </c>
      <c r="AJ1066" s="1" t="str">
        <f t="shared" si="100"/>
        <v>2. 2-5 yrs</v>
      </c>
      <c r="AK1066" s="1" t="str">
        <f t="shared" si="101"/>
        <v>3. High</v>
      </c>
      <c r="AL1066" s="1" t="str">
        <f t="shared" si="102"/>
        <v>4. Best</v>
      </c>
    </row>
    <row r="1067" spans="1:38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f t="shared" si="97"/>
        <v>0</v>
      </c>
      <c r="AH1067" t="str">
        <f t="shared" si="98"/>
        <v>46-55</v>
      </c>
      <c r="AI1067" t="str">
        <f t="shared" si="99"/>
        <v>2. 3K-6K</v>
      </c>
      <c r="AJ1067" s="1" t="str">
        <f t="shared" si="100"/>
        <v>2. 2-5 yrs</v>
      </c>
      <c r="AK1067" s="1" t="str">
        <f t="shared" si="101"/>
        <v>3. High</v>
      </c>
      <c r="AL1067" s="1" t="str">
        <f t="shared" si="102"/>
        <v>3. Better</v>
      </c>
    </row>
    <row r="1068" spans="1:38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f t="shared" si="97"/>
        <v>0</v>
      </c>
      <c r="AH1068" t="str">
        <f t="shared" si="98"/>
        <v>26-35</v>
      </c>
      <c r="AI1068" t="str">
        <f t="shared" si="99"/>
        <v>2. 3K-6K</v>
      </c>
      <c r="AJ1068" s="1" t="str">
        <f t="shared" si="100"/>
        <v>2. 2-5 yrs</v>
      </c>
      <c r="AK1068" s="1" t="str">
        <f t="shared" si="101"/>
        <v>2. Medium</v>
      </c>
      <c r="AL1068" s="1" t="str">
        <f t="shared" si="102"/>
        <v>3. Better</v>
      </c>
    </row>
    <row r="1069" spans="1:38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f t="shared" si="97"/>
        <v>0</v>
      </c>
      <c r="AH1069" t="str">
        <f t="shared" si="98"/>
        <v>46-55</v>
      </c>
      <c r="AI1069" t="str">
        <f t="shared" si="99"/>
        <v>2. 3K-6K</v>
      </c>
      <c r="AJ1069" s="1" t="str">
        <f t="shared" si="100"/>
        <v>2. 2-5 yrs</v>
      </c>
      <c r="AK1069" s="1" t="str">
        <f t="shared" si="101"/>
        <v>3. High</v>
      </c>
      <c r="AL1069" s="1" t="str">
        <f t="shared" si="102"/>
        <v>2. Good</v>
      </c>
    </row>
    <row r="1070" spans="1:38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f t="shared" si="97"/>
        <v>1</v>
      </c>
      <c r="AH1070" t="str">
        <f t="shared" si="98"/>
        <v>26-35</v>
      </c>
      <c r="AI1070" t="str">
        <f t="shared" si="99"/>
        <v>1. Under 3K</v>
      </c>
      <c r="AJ1070" s="1" t="str">
        <f t="shared" si="100"/>
        <v>1. 0-1 yrs</v>
      </c>
      <c r="AK1070" s="1" t="str">
        <f t="shared" si="101"/>
        <v>1. Low</v>
      </c>
      <c r="AL1070" s="1" t="str">
        <f t="shared" si="102"/>
        <v>2. Good</v>
      </c>
    </row>
    <row r="1071" spans="1:38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f t="shared" si="97"/>
        <v>0</v>
      </c>
      <c r="AH1071" t="str">
        <f t="shared" si="98"/>
        <v>26-35</v>
      </c>
      <c r="AI1071" t="str">
        <f t="shared" si="99"/>
        <v>1. Under 3K</v>
      </c>
      <c r="AJ1071" s="1" t="str">
        <f t="shared" si="100"/>
        <v>1. 0-1 yrs</v>
      </c>
      <c r="AK1071" s="1" t="str">
        <f t="shared" si="101"/>
        <v>3. High</v>
      </c>
      <c r="AL1071" s="1" t="str">
        <f t="shared" si="102"/>
        <v>1. Bad</v>
      </c>
    </row>
    <row r="1072" spans="1:38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f t="shared" si="97"/>
        <v>0</v>
      </c>
      <c r="AH1072" t="str">
        <f t="shared" si="98"/>
        <v>26-35</v>
      </c>
      <c r="AI1072" t="str">
        <f t="shared" si="99"/>
        <v>2. 3K-6K</v>
      </c>
      <c r="AJ1072" s="1" t="str">
        <f t="shared" si="100"/>
        <v>2. 2-5 yrs</v>
      </c>
      <c r="AK1072" s="1" t="str">
        <f t="shared" si="101"/>
        <v>1. Low</v>
      </c>
      <c r="AL1072" s="1" t="str">
        <f t="shared" si="102"/>
        <v>3. Better</v>
      </c>
    </row>
    <row r="1073" spans="1:38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f t="shared" si="97"/>
        <v>0</v>
      </c>
      <c r="AH1073" t="str">
        <f t="shared" si="98"/>
        <v>46-55</v>
      </c>
      <c r="AI1073" t="str">
        <f t="shared" si="99"/>
        <v>2. 3K-6K</v>
      </c>
      <c r="AJ1073" s="1" t="str">
        <f t="shared" si="100"/>
        <v>2. 2-5 yrs</v>
      </c>
      <c r="AK1073" s="1" t="str">
        <f t="shared" si="101"/>
        <v>1. Low</v>
      </c>
      <c r="AL1073" s="1" t="str">
        <f t="shared" si="102"/>
        <v>3. Better</v>
      </c>
    </row>
    <row r="1074" spans="1:38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f t="shared" si="97"/>
        <v>0</v>
      </c>
      <c r="AH1074" t="str">
        <f t="shared" si="98"/>
        <v>26-35</v>
      </c>
      <c r="AI1074" t="str">
        <f t="shared" si="99"/>
        <v>2. 3K-6K</v>
      </c>
      <c r="AJ1074" s="1" t="str">
        <f t="shared" si="100"/>
        <v>2. 2-5 yrs</v>
      </c>
      <c r="AK1074" s="1" t="str">
        <f t="shared" si="101"/>
        <v>2. Medium</v>
      </c>
      <c r="AL1074" s="1" t="str">
        <f t="shared" si="102"/>
        <v>3. Better</v>
      </c>
    </row>
    <row r="1075" spans="1:38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f t="shared" si="97"/>
        <v>0</v>
      </c>
      <c r="AH1075" t="str">
        <f t="shared" si="98"/>
        <v>26-35</v>
      </c>
      <c r="AI1075" t="str">
        <f t="shared" si="99"/>
        <v>3. 6K-10K</v>
      </c>
      <c r="AJ1075" s="1" t="str">
        <f t="shared" si="100"/>
        <v>3. 6-10 yrs</v>
      </c>
      <c r="AK1075" s="1" t="str">
        <f t="shared" si="101"/>
        <v>2. Medium</v>
      </c>
      <c r="AL1075" s="1" t="str">
        <f t="shared" si="102"/>
        <v>2. Good</v>
      </c>
    </row>
    <row r="1076" spans="1:38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f t="shared" si="97"/>
        <v>0</v>
      </c>
      <c r="AH1076" t="str">
        <f t="shared" si="98"/>
        <v>26-35</v>
      </c>
      <c r="AI1076" t="str">
        <f t="shared" si="99"/>
        <v>3. 6K-10K</v>
      </c>
      <c r="AJ1076" s="1" t="str">
        <f t="shared" si="100"/>
        <v>1. 0-1 yrs</v>
      </c>
      <c r="AK1076" s="1" t="str">
        <f t="shared" si="101"/>
        <v>3. High</v>
      </c>
      <c r="AL1076" s="1" t="str">
        <f t="shared" si="102"/>
        <v>3. Better</v>
      </c>
    </row>
    <row r="1077" spans="1:38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f t="shared" si="97"/>
        <v>0</v>
      </c>
      <c r="AH1077" t="str">
        <f t="shared" si="98"/>
        <v>26-35</v>
      </c>
      <c r="AI1077" t="str">
        <f t="shared" si="99"/>
        <v>4. 10K+</v>
      </c>
      <c r="AJ1077" s="1" t="str">
        <f t="shared" si="100"/>
        <v>2. 2-5 yrs</v>
      </c>
      <c r="AK1077" s="1" t="str">
        <f t="shared" si="101"/>
        <v>4. Very High</v>
      </c>
      <c r="AL1077" s="1" t="str">
        <f t="shared" si="102"/>
        <v>4. Best</v>
      </c>
    </row>
    <row r="1078" spans="1:38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f t="shared" si="97"/>
        <v>0</v>
      </c>
      <c r="AH1078" t="str">
        <f t="shared" si="98"/>
        <v>46-55</v>
      </c>
      <c r="AI1078" t="str">
        <f t="shared" si="99"/>
        <v>4. 10K+</v>
      </c>
      <c r="AJ1078" s="1" t="str">
        <f t="shared" si="100"/>
        <v>4. 10+ yrs</v>
      </c>
      <c r="AK1078" s="1" t="str">
        <f t="shared" si="101"/>
        <v>4. Very High</v>
      </c>
      <c r="AL1078" s="1" t="str">
        <f t="shared" si="102"/>
        <v>3. Better</v>
      </c>
    </row>
    <row r="1079" spans="1:38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f t="shared" si="97"/>
        <v>1</v>
      </c>
      <c r="AH1079" t="str">
        <f t="shared" si="98"/>
        <v>26-35</v>
      </c>
      <c r="AI1079" t="str">
        <f t="shared" si="99"/>
        <v>1. Under 3K</v>
      </c>
      <c r="AJ1079" s="1" t="str">
        <f t="shared" si="100"/>
        <v>3. 6-10 yrs</v>
      </c>
      <c r="AK1079" s="1" t="str">
        <f t="shared" si="101"/>
        <v>1. Low</v>
      </c>
      <c r="AL1079" s="1" t="str">
        <f t="shared" si="102"/>
        <v>1. Bad</v>
      </c>
    </row>
    <row r="1080" spans="1:38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f t="shared" si="97"/>
        <v>0</v>
      </c>
      <c r="AH1080" t="str">
        <f t="shared" si="98"/>
        <v>36-45</v>
      </c>
      <c r="AI1080" t="str">
        <f t="shared" si="99"/>
        <v>4. 10K+</v>
      </c>
      <c r="AJ1080" s="1" t="str">
        <f t="shared" si="100"/>
        <v>4. 10+ yrs</v>
      </c>
      <c r="AK1080" s="1" t="str">
        <f t="shared" si="101"/>
        <v>1. Low</v>
      </c>
      <c r="AL1080" s="1" t="str">
        <f t="shared" si="102"/>
        <v>4. Best</v>
      </c>
    </row>
    <row r="1081" spans="1:38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f t="shared" si="97"/>
        <v>0</v>
      </c>
      <c r="AH1081" t="str">
        <f t="shared" si="98"/>
        <v>36-45</v>
      </c>
      <c r="AI1081" t="str">
        <f t="shared" si="99"/>
        <v>3. 6K-10K</v>
      </c>
      <c r="AJ1081" s="1" t="str">
        <f t="shared" si="100"/>
        <v>2. 2-5 yrs</v>
      </c>
      <c r="AK1081" s="1" t="str">
        <f t="shared" si="101"/>
        <v>2. Medium</v>
      </c>
      <c r="AL1081" s="1" t="str">
        <f t="shared" si="102"/>
        <v>3. Better</v>
      </c>
    </row>
    <row r="1082" spans="1:38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f t="shared" si="97"/>
        <v>0</v>
      </c>
      <c r="AH1082" t="str">
        <f t="shared" si="98"/>
        <v>46-55</v>
      </c>
      <c r="AI1082" t="str">
        <f t="shared" si="99"/>
        <v>4. 10K+</v>
      </c>
      <c r="AJ1082" s="1" t="str">
        <f t="shared" si="100"/>
        <v>4. 10+ yrs</v>
      </c>
      <c r="AK1082" s="1" t="str">
        <f t="shared" si="101"/>
        <v>2. Medium</v>
      </c>
      <c r="AL1082" s="1" t="str">
        <f t="shared" si="102"/>
        <v>4. Best</v>
      </c>
    </row>
    <row r="1083" spans="1:38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f t="shared" si="97"/>
        <v>0</v>
      </c>
      <c r="AH1083" t="str">
        <f t="shared" si="98"/>
        <v>26-35</v>
      </c>
      <c r="AI1083" t="str">
        <f t="shared" si="99"/>
        <v>3. 6K-10K</v>
      </c>
      <c r="AJ1083" s="1" t="str">
        <f t="shared" si="100"/>
        <v>4. 10+ yrs</v>
      </c>
      <c r="AK1083" s="1" t="str">
        <f t="shared" si="101"/>
        <v>2. Medium</v>
      </c>
      <c r="AL1083" s="1" t="str">
        <f t="shared" si="102"/>
        <v>1. Bad</v>
      </c>
    </row>
    <row r="1084" spans="1:38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f t="shared" si="97"/>
        <v>0</v>
      </c>
      <c r="AH1084" t="str">
        <f t="shared" si="98"/>
        <v>18-25</v>
      </c>
      <c r="AI1084" t="str">
        <f t="shared" si="99"/>
        <v>1. Under 3K</v>
      </c>
      <c r="AJ1084" s="1" t="str">
        <f t="shared" si="100"/>
        <v>2. 2-5 yrs</v>
      </c>
      <c r="AK1084" s="1" t="str">
        <f t="shared" si="101"/>
        <v>3. High</v>
      </c>
      <c r="AL1084" s="1" t="str">
        <f t="shared" si="102"/>
        <v>3. Better</v>
      </c>
    </row>
    <row r="1085" spans="1:38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f t="shared" si="97"/>
        <v>1</v>
      </c>
      <c r="AH1085" t="str">
        <f t="shared" si="98"/>
        <v>36-45</v>
      </c>
      <c r="AI1085" t="str">
        <f t="shared" si="99"/>
        <v>1. Under 3K</v>
      </c>
      <c r="AJ1085" s="1" t="str">
        <f t="shared" si="100"/>
        <v>2. 2-5 yrs</v>
      </c>
      <c r="AK1085" s="1" t="str">
        <f t="shared" si="101"/>
        <v>1. Low</v>
      </c>
      <c r="AL1085" s="1" t="str">
        <f t="shared" si="102"/>
        <v>1. Bad</v>
      </c>
    </row>
    <row r="1086" spans="1:38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f t="shared" si="97"/>
        <v>0</v>
      </c>
      <c r="AH1086" t="str">
        <f t="shared" si="98"/>
        <v>26-35</v>
      </c>
      <c r="AI1086" t="str">
        <f t="shared" si="99"/>
        <v>3. 6K-10K</v>
      </c>
      <c r="AJ1086" s="1" t="str">
        <f t="shared" si="100"/>
        <v>3. 6-10 yrs</v>
      </c>
      <c r="AK1086" s="1" t="str">
        <f t="shared" si="101"/>
        <v>3. High</v>
      </c>
      <c r="AL1086" s="1" t="str">
        <f t="shared" si="102"/>
        <v>3. Better</v>
      </c>
    </row>
    <row r="1087" spans="1:38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f t="shared" si="97"/>
        <v>1</v>
      </c>
      <c r="AH1087" t="str">
        <f t="shared" si="98"/>
        <v>26-35</v>
      </c>
      <c r="AI1087" t="str">
        <f t="shared" si="99"/>
        <v>2. 3K-6K</v>
      </c>
      <c r="AJ1087" s="1" t="str">
        <f t="shared" si="100"/>
        <v>3. 6-10 yrs</v>
      </c>
      <c r="AK1087" s="1" t="str">
        <f t="shared" si="101"/>
        <v>3. High</v>
      </c>
      <c r="AL1087" s="1" t="str">
        <f t="shared" si="102"/>
        <v>1. Bad</v>
      </c>
    </row>
    <row r="1088" spans="1:38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f t="shared" si="97"/>
        <v>0</v>
      </c>
      <c r="AH1088" t="str">
        <f t="shared" si="98"/>
        <v>46-55</v>
      </c>
      <c r="AI1088" t="str">
        <f t="shared" si="99"/>
        <v>4. 10K+</v>
      </c>
      <c r="AJ1088" s="1" t="str">
        <f t="shared" si="100"/>
        <v>4. 10+ yrs</v>
      </c>
      <c r="AK1088" s="1" t="str">
        <f t="shared" si="101"/>
        <v>4. Very High</v>
      </c>
      <c r="AL1088" s="1" t="str">
        <f t="shared" si="102"/>
        <v>3. Better</v>
      </c>
    </row>
    <row r="1089" spans="1:38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f t="shared" si="97"/>
        <v>0</v>
      </c>
      <c r="AH1089" t="str">
        <f t="shared" si="98"/>
        <v>26-35</v>
      </c>
      <c r="AI1089" t="str">
        <f t="shared" si="99"/>
        <v>1. Under 3K</v>
      </c>
      <c r="AJ1089" s="1" t="str">
        <f t="shared" si="100"/>
        <v>4. 10+ yrs</v>
      </c>
      <c r="AK1089" s="1" t="str">
        <f t="shared" si="101"/>
        <v>3. High</v>
      </c>
      <c r="AL1089" s="1" t="str">
        <f t="shared" si="102"/>
        <v>3. Better</v>
      </c>
    </row>
    <row r="1090" spans="1:38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f t="shared" ref="AG1090:AG1153" si="103">IF(B1090="Yes",1,0)</f>
        <v>0</v>
      </c>
      <c r="AH1090" t="str">
        <f t="shared" ref="AH1090:AH1153" si="104">IF(A1090&lt;26,"18-25",IF(A1090&lt;36,"26-35",IF(A1090&lt;46,"36-45",IF(A1090&lt;56,"46-55","56+"))))</f>
        <v>36-45</v>
      </c>
      <c r="AI1090" t="str">
        <f t="shared" ref="AI1090:AI1153" si="105">IF(R1090&lt;3000,"1. Under 3K",IF(R1090&lt;6000,"2. 3K-6K",IF(R1090&lt;10000,"3. 6K-10K","4. 10K+")))</f>
        <v>2. 3K-6K</v>
      </c>
      <c r="AJ1090" s="1" t="str">
        <f t="shared" ref="AJ1090:AJ1153" si="106">IF(AC1090&lt;2,"1. 0-1 yrs",IF(AC1090&lt;6,"2. 2-5 yrs",IF(AC1090&lt;11,"3. 6-10 yrs","4. 10+ yrs")))</f>
        <v>1. 0-1 yrs</v>
      </c>
      <c r="AK1090" s="1" t="str">
        <f t="shared" ref="AK1090:AK1153" si="107">CHOOSE(P1090,"1. Low","2. Medium","3. High","4. Very High")</f>
        <v>2. Medium</v>
      </c>
      <c r="AL1090" s="1" t="str">
        <f t="shared" ref="AL1090:AL1153" si="108">CHOOSE(AB1090,"1. Bad","2. Good","3. Better","4. Best")</f>
        <v>3. Better</v>
      </c>
    </row>
    <row r="1091" spans="1:38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f t="shared" si="103"/>
        <v>0</v>
      </c>
      <c r="AH1091" t="str">
        <f t="shared" si="104"/>
        <v>36-45</v>
      </c>
      <c r="AI1091" t="str">
        <f t="shared" si="105"/>
        <v>2. 3K-6K</v>
      </c>
      <c r="AJ1091" s="1" t="str">
        <f t="shared" si="106"/>
        <v>3. 6-10 yrs</v>
      </c>
      <c r="AK1091" s="1" t="str">
        <f t="shared" si="107"/>
        <v>4. Very High</v>
      </c>
      <c r="AL1091" s="1" t="str">
        <f t="shared" si="108"/>
        <v>3. Better</v>
      </c>
    </row>
    <row r="1092" spans="1:38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f t="shared" si="103"/>
        <v>0</v>
      </c>
      <c r="AH1092" t="str">
        <f t="shared" si="104"/>
        <v>26-35</v>
      </c>
      <c r="AI1092" t="str">
        <f t="shared" si="105"/>
        <v>3. 6K-10K</v>
      </c>
      <c r="AJ1092" s="1" t="str">
        <f t="shared" si="106"/>
        <v>3. 6-10 yrs</v>
      </c>
      <c r="AK1092" s="1" t="str">
        <f t="shared" si="107"/>
        <v>1. Low</v>
      </c>
      <c r="AL1092" s="1" t="str">
        <f t="shared" si="108"/>
        <v>3. Better</v>
      </c>
    </row>
    <row r="1093" spans="1:38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f t="shared" si="103"/>
        <v>0</v>
      </c>
      <c r="AH1093" t="str">
        <f t="shared" si="104"/>
        <v>26-35</v>
      </c>
      <c r="AI1093" t="str">
        <f t="shared" si="105"/>
        <v>2. 3K-6K</v>
      </c>
      <c r="AJ1093" s="1" t="str">
        <f t="shared" si="106"/>
        <v>2. 2-5 yrs</v>
      </c>
      <c r="AK1093" s="1" t="str">
        <f t="shared" si="107"/>
        <v>2. Medium</v>
      </c>
      <c r="AL1093" s="1" t="str">
        <f t="shared" si="108"/>
        <v>3. Better</v>
      </c>
    </row>
    <row r="1094" spans="1:38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f t="shared" si="103"/>
        <v>0</v>
      </c>
      <c r="AH1094" t="str">
        <f t="shared" si="104"/>
        <v>36-45</v>
      </c>
      <c r="AI1094" t="str">
        <f t="shared" si="105"/>
        <v>1. Under 3K</v>
      </c>
      <c r="AJ1094" s="1" t="str">
        <f t="shared" si="106"/>
        <v>2. 2-5 yrs</v>
      </c>
      <c r="AK1094" s="1" t="str">
        <f t="shared" si="107"/>
        <v>4. Very High</v>
      </c>
      <c r="AL1094" s="1" t="str">
        <f t="shared" si="108"/>
        <v>3. Better</v>
      </c>
    </row>
    <row r="1095" spans="1:38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f t="shared" si="103"/>
        <v>0</v>
      </c>
      <c r="AH1095" t="str">
        <f t="shared" si="104"/>
        <v>36-45</v>
      </c>
      <c r="AI1095" t="str">
        <f t="shared" si="105"/>
        <v>4. 10K+</v>
      </c>
      <c r="AJ1095" s="1" t="str">
        <f t="shared" si="106"/>
        <v>4. 10+ yrs</v>
      </c>
      <c r="AK1095" s="1" t="str">
        <f t="shared" si="107"/>
        <v>4. Very High</v>
      </c>
      <c r="AL1095" s="1" t="str">
        <f t="shared" si="108"/>
        <v>1. Bad</v>
      </c>
    </row>
    <row r="1096" spans="1:38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f t="shared" si="103"/>
        <v>0</v>
      </c>
      <c r="AH1096" t="str">
        <f t="shared" si="104"/>
        <v>36-45</v>
      </c>
      <c r="AI1096" t="str">
        <f t="shared" si="105"/>
        <v>2. 3K-6K</v>
      </c>
      <c r="AJ1096" s="1" t="str">
        <f t="shared" si="106"/>
        <v>3. 6-10 yrs</v>
      </c>
      <c r="AK1096" s="1" t="str">
        <f t="shared" si="107"/>
        <v>1. Low</v>
      </c>
      <c r="AL1096" s="1" t="str">
        <f t="shared" si="108"/>
        <v>4. Best</v>
      </c>
    </row>
    <row r="1097" spans="1:38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f t="shared" si="103"/>
        <v>0</v>
      </c>
      <c r="AH1097" t="str">
        <f t="shared" si="104"/>
        <v>26-35</v>
      </c>
      <c r="AI1097" t="str">
        <f t="shared" si="105"/>
        <v>2. 3K-6K</v>
      </c>
      <c r="AJ1097" s="1" t="str">
        <f t="shared" si="106"/>
        <v>4. 10+ yrs</v>
      </c>
      <c r="AK1097" s="1" t="str">
        <f t="shared" si="107"/>
        <v>3. High</v>
      </c>
      <c r="AL1097" s="1" t="str">
        <f t="shared" si="108"/>
        <v>3. Better</v>
      </c>
    </row>
    <row r="1098" spans="1:38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f t="shared" si="103"/>
        <v>0</v>
      </c>
      <c r="AH1098" t="str">
        <f t="shared" si="104"/>
        <v>36-45</v>
      </c>
      <c r="AI1098" t="str">
        <f t="shared" si="105"/>
        <v>4. 10K+</v>
      </c>
      <c r="AJ1098" s="1" t="str">
        <f t="shared" si="106"/>
        <v>4. 10+ yrs</v>
      </c>
      <c r="AK1098" s="1" t="str">
        <f t="shared" si="107"/>
        <v>4. Very High</v>
      </c>
      <c r="AL1098" s="1" t="str">
        <f t="shared" si="108"/>
        <v>3. Better</v>
      </c>
    </row>
    <row r="1099" spans="1:38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f t="shared" si="103"/>
        <v>0</v>
      </c>
      <c r="AH1099" t="str">
        <f t="shared" si="104"/>
        <v>18-25</v>
      </c>
      <c r="AI1099" t="str">
        <f t="shared" si="105"/>
        <v>1. Under 3K</v>
      </c>
      <c r="AJ1099" s="1" t="str">
        <f t="shared" si="106"/>
        <v>1. 0-1 yrs</v>
      </c>
      <c r="AK1099" s="1" t="str">
        <f t="shared" si="107"/>
        <v>1. Low</v>
      </c>
      <c r="AL1099" s="1" t="str">
        <f t="shared" si="108"/>
        <v>3. Better</v>
      </c>
    </row>
    <row r="1100" spans="1:38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f t="shared" si="103"/>
        <v>0</v>
      </c>
      <c r="AH1100" t="str">
        <f t="shared" si="104"/>
        <v>36-45</v>
      </c>
      <c r="AI1100" t="str">
        <f t="shared" si="105"/>
        <v>2. 3K-6K</v>
      </c>
      <c r="AJ1100" s="1" t="str">
        <f t="shared" si="106"/>
        <v>2. 2-5 yrs</v>
      </c>
      <c r="AK1100" s="1" t="str">
        <f t="shared" si="107"/>
        <v>4. Very High</v>
      </c>
      <c r="AL1100" s="1" t="str">
        <f t="shared" si="108"/>
        <v>3. Better</v>
      </c>
    </row>
    <row r="1101" spans="1:38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f t="shared" si="103"/>
        <v>0</v>
      </c>
      <c r="AH1101" t="str">
        <f t="shared" si="104"/>
        <v>36-45</v>
      </c>
      <c r="AI1101" t="str">
        <f t="shared" si="105"/>
        <v>3. 6K-10K</v>
      </c>
      <c r="AJ1101" s="1" t="str">
        <f t="shared" si="106"/>
        <v>3. 6-10 yrs</v>
      </c>
      <c r="AK1101" s="1" t="str">
        <f t="shared" si="107"/>
        <v>2. Medium</v>
      </c>
      <c r="AL1101" s="1" t="str">
        <f t="shared" si="108"/>
        <v>3. Better</v>
      </c>
    </row>
    <row r="1102" spans="1:38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f t="shared" si="103"/>
        <v>0</v>
      </c>
      <c r="AH1102" t="str">
        <f t="shared" si="104"/>
        <v>26-35</v>
      </c>
      <c r="AI1102" t="str">
        <f t="shared" si="105"/>
        <v>1. Under 3K</v>
      </c>
      <c r="AJ1102" s="1" t="str">
        <f t="shared" si="106"/>
        <v>2. 2-5 yrs</v>
      </c>
      <c r="AK1102" s="1" t="str">
        <f t="shared" si="107"/>
        <v>3. High</v>
      </c>
      <c r="AL1102" s="1" t="str">
        <f t="shared" si="108"/>
        <v>3. Better</v>
      </c>
    </row>
    <row r="1103" spans="1:38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f t="shared" si="103"/>
        <v>0</v>
      </c>
      <c r="AH1103" t="str">
        <f t="shared" si="104"/>
        <v>26-35</v>
      </c>
      <c r="AI1103" t="str">
        <f t="shared" si="105"/>
        <v>2. 3K-6K</v>
      </c>
      <c r="AJ1103" s="1" t="str">
        <f t="shared" si="106"/>
        <v>3. 6-10 yrs</v>
      </c>
      <c r="AK1103" s="1" t="str">
        <f t="shared" si="107"/>
        <v>2. Medium</v>
      </c>
      <c r="AL1103" s="1" t="str">
        <f t="shared" si="108"/>
        <v>3. Better</v>
      </c>
    </row>
    <row r="1104" spans="1:38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f t="shared" si="103"/>
        <v>0</v>
      </c>
      <c r="AH1104" t="str">
        <f t="shared" si="104"/>
        <v>36-45</v>
      </c>
      <c r="AI1104" t="str">
        <f t="shared" si="105"/>
        <v>1. Under 3K</v>
      </c>
      <c r="AJ1104" s="1" t="str">
        <f t="shared" si="106"/>
        <v>2. 2-5 yrs</v>
      </c>
      <c r="AK1104" s="1" t="str">
        <f t="shared" si="107"/>
        <v>4. Very High</v>
      </c>
      <c r="AL1104" s="1" t="str">
        <f t="shared" si="108"/>
        <v>2. Good</v>
      </c>
    </row>
    <row r="1105" spans="1:38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f t="shared" si="103"/>
        <v>0</v>
      </c>
      <c r="AH1105" t="str">
        <f t="shared" si="104"/>
        <v>46-55</v>
      </c>
      <c r="AI1105" t="str">
        <f t="shared" si="105"/>
        <v>3. 6K-10K</v>
      </c>
      <c r="AJ1105" s="1" t="str">
        <f t="shared" si="106"/>
        <v>3. 6-10 yrs</v>
      </c>
      <c r="AK1105" s="1" t="str">
        <f t="shared" si="107"/>
        <v>3. High</v>
      </c>
      <c r="AL1105" s="1" t="str">
        <f t="shared" si="108"/>
        <v>3. Better</v>
      </c>
    </row>
    <row r="1106" spans="1:38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f t="shared" si="103"/>
        <v>0</v>
      </c>
      <c r="AH1106" t="str">
        <f t="shared" si="104"/>
        <v>26-35</v>
      </c>
      <c r="AI1106" t="str">
        <f t="shared" si="105"/>
        <v>1. Under 3K</v>
      </c>
      <c r="AJ1106" s="1" t="str">
        <f t="shared" si="106"/>
        <v>1. 0-1 yrs</v>
      </c>
      <c r="AK1106" s="1" t="str">
        <f t="shared" si="107"/>
        <v>3. High</v>
      </c>
      <c r="AL1106" s="1" t="str">
        <f t="shared" si="108"/>
        <v>2. Good</v>
      </c>
    </row>
    <row r="1107" spans="1:38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f t="shared" si="103"/>
        <v>0</v>
      </c>
      <c r="AH1107" t="str">
        <f t="shared" si="104"/>
        <v>26-35</v>
      </c>
      <c r="AI1107" t="str">
        <f t="shared" si="105"/>
        <v>3. 6K-10K</v>
      </c>
      <c r="AJ1107" s="1" t="str">
        <f t="shared" si="106"/>
        <v>2. 2-5 yrs</v>
      </c>
      <c r="AK1107" s="1" t="str">
        <f t="shared" si="107"/>
        <v>1. Low</v>
      </c>
      <c r="AL1107" s="1" t="str">
        <f t="shared" si="108"/>
        <v>1. Bad</v>
      </c>
    </row>
    <row r="1108" spans="1:38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f t="shared" si="103"/>
        <v>1</v>
      </c>
      <c r="AH1108" t="str">
        <f t="shared" si="104"/>
        <v>26-35</v>
      </c>
      <c r="AI1108" t="str">
        <f t="shared" si="105"/>
        <v>3. 6K-10K</v>
      </c>
      <c r="AJ1108" s="1" t="str">
        <f t="shared" si="106"/>
        <v>3. 6-10 yrs</v>
      </c>
      <c r="AK1108" s="1" t="str">
        <f t="shared" si="107"/>
        <v>1. Low</v>
      </c>
      <c r="AL1108" s="1" t="str">
        <f t="shared" si="108"/>
        <v>3. Better</v>
      </c>
    </row>
    <row r="1109" spans="1:38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f t="shared" si="103"/>
        <v>0</v>
      </c>
      <c r="AH1109" t="str">
        <f t="shared" si="104"/>
        <v>36-45</v>
      </c>
      <c r="AI1109" t="str">
        <f t="shared" si="105"/>
        <v>3. 6K-10K</v>
      </c>
      <c r="AJ1109" s="1" t="str">
        <f t="shared" si="106"/>
        <v>3. 6-10 yrs</v>
      </c>
      <c r="AK1109" s="1" t="str">
        <f t="shared" si="107"/>
        <v>3. High</v>
      </c>
      <c r="AL1109" s="1" t="str">
        <f t="shared" si="108"/>
        <v>3. Better</v>
      </c>
    </row>
    <row r="1110" spans="1:38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f t="shared" si="103"/>
        <v>0</v>
      </c>
      <c r="AH1110" t="str">
        <f t="shared" si="104"/>
        <v>26-35</v>
      </c>
      <c r="AI1110" t="str">
        <f t="shared" si="105"/>
        <v>1. Under 3K</v>
      </c>
      <c r="AJ1110" s="1" t="str">
        <f t="shared" si="106"/>
        <v>2. 2-5 yrs</v>
      </c>
      <c r="AK1110" s="1" t="str">
        <f t="shared" si="107"/>
        <v>1. Low</v>
      </c>
      <c r="AL1110" s="1" t="str">
        <f t="shared" si="108"/>
        <v>3. Better</v>
      </c>
    </row>
    <row r="1111" spans="1:38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f t="shared" si="103"/>
        <v>0</v>
      </c>
      <c r="AH1111" t="str">
        <f t="shared" si="104"/>
        <v>26-35</v>
      </c>
      <c r="AI1111" t="str">
        <f t="shared" si="105"/>
        <v>3. 6K-10K</v>
      </c>
      <c r="AJ1111" s="1" t="str">
        <f t="shared" si="106"/>
        <v>2. 2-5 yrs</v>
      </c>
      <c r="AK1111" s="1" t="str">
        <f t="shared" si="107"/>
        <v>2. Medium</v>
      </c>
      <c r="AL1111" s="1" t="str">
        <f t="shared" si="108"/>
        <v>3. Better</v>
      </c>
    </row>
    <row r="1112" spans="1:38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f t="shared" si="103"/>
        <v>1</v>
      </c>
      <c r="AH1112" t="str">
        <f t="shared" si="104"/>
        <v>26-35</v>
      </c>
      <c r="AI1112" t="str">
        <f t="shared" si="105"/>
        <v>1. Under 3K</v>
      </c>
      <c r="AJ1112" s="1" t="str">
        <f t="shared" si="106"/>
        <v>1. 0-1 yrs</v>
      </c>
      <c r="AK1112" s="1" t="str">
        <f t="shared" si="107"/>
        <v>1. Low</v>
      </c>
      <c r="AL1112" s="1" t="str">
        <f t="shared" si="108"/>
        <v>3. Better</v>
      </c>
    </row>
    <row r="1113" spans="1:38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f t="shared" si="103"/>
        <v>1</v>
      </c>
      <c r="AH1113" t="str">
        <f t="shared" si="104"/>
        <v>46-55</v>
      </c>
      <c r="AI1113" t="str">
        <f t="shared" si="105"/>
        <v>4. 10K+</v>
      </c>
      <c r="AJ1113" s="1" t="str">
        <f t="shared" si="106"/>
        <v>4. 10+ yrs</v>
      </c>
      <c r="AK1113" s="1" t="str">
        <f t="shared" si="107"/>
        <v>4. Very High</v>
      </c>
      <c r="AL1113" s="1" t="str">
        <f t="shared" si="108"/>
        <v>3. Better</v>
      </c>
    </row>
    <row r="1114" spans="1:38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f t="shared" si="103"/>
        <v>1</v>
      </c>
      <c r="AH1114" t="str">
        <f t="shared" si="104"/>
        <v>36-45</v>
      </c>
      <c r="AI1114" t="str">
        <f t="shared" si="105"/>
        <v>2. 3K-6K</v>
      </c>
      <c r="AJ1114" s="1" t="str">
        <f t="shared" si="106"/>
        <v>2. 2-5 yrs</v>
      </c>
      <c r="AK1114" s="1" t="str">
        <f t="shared" si="107"/>
        <v>2. Medium</v>
      </c>
      <c r="AL1114" s="1" t="str">
        <f t="shared" si="108"/>
        <v>3. Better</v>
      </c>
    </row>
    <row r="1115" spans="1:38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f t="shared" si="103"/>
        <v>0</v>
      </c>
      <c r="AH1115" t="str">
        <f t="shared" si="104"/>
        <v>26-35</v>
      </c>
      <c r="AI1115" t="str">
        <f t="shared" si="105"/>
        <v>2. 3K-6K</v>
      </c>
      <c r="AJ1115" s="1" t="str">
        <f t="shared" si="106"/>
        <v>3. 6-10 yrs</v>
      </c>
      <c r="AK1115" s="1" t="str">
        <f t="shared" si="107"/>
        <v>1. Low</v>
      </c>
      <c r="AL1115" s="1" t="str">
        <f t="shared" si="108"/>
        <v>2. Good</v>
      </c>
    </row>
    <row r="1116" spans="1:38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f t="shared" si="103"/>
        <v>0</v>
      </c>
      <c r="AH1116" t="str">
        <f t="shared" si="104"/>
        <v>46-55</v>
      </c>
      <c r="AI1116" t="str">
        <f t="shared" si="105"/>
        <v>1. Under 3K</v>
      </c>
      <c r="AJ1116" s="1" t="str">
        <f t="shared" si="106"/>
        <v>3. 6-10 yrs</v>
      </c>
      <c r="AK1116" s="1" t="str">
        <f t="shared" si="107"/>
        <v>1. Low</v>
      </c>
      <c r="AL1116" s="1" t="str">
        <f t="shared" si="108"/>
        <v>2. Good</v>
      </c>
    </row>
    <row r="1117" spans="1:38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f t="shared" si="103"/>
        <v>0</v>
      </c>
      <c r="AH1117" t="str">
        <f t="shared" si="104"/>
        <v>26-35</v>
      </c>
      <c r="AI1117" t="str">
        <f t="shared" si="105"/>
        <v>1. Under 3K</v>
      </c>
      <c r="AJ1117" s="1" t="str">
        <f t="shared" si="106"/>
        <v>1. 0-1 yrs</v>
      </c>
      <c r="AK1117" s="1" t="str">
        <f t="shared" si="107"/>
        <v>4. Very High</v>
      </c>
      <c r="AL1117" s="1" t="str">
        <f t="shared" si="108"/>
        <v>1. Bad</v>
      </c>
    </row>
    <row r="1118" spans="1:38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f t="shared" si="103"/>
        <v>0</v>
      </c>
      <c r="AH1118" t="str">
        <f t="shared" si="104"/>
        <v>46-55</v>
      </c>
      <c r="AI1118" t="str">
        <f t="shared" si="105"/>
        <v>4. 10K+</v>
      </c>
      <c r="AJ1118" s="1" t="str">
        <f t="shared" si="106"/>
        <v>4. 10+ yrs</v>
      </c>
      <c r="AK1118" s="1" t="str">
        <f t="shared" si="107"/>
        <v>4. Very High</v>
      </c>
      <c r="AL1118" s="1" t="str">
        <f t="shared" si="108"/>
        <v>3. Better</v>
      </c>
    </row>
    <row r="1119" spans="1:38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f t="shared" si="103"/>
        <v>0</v>
      </c>
      <c r="AH1119" t="str">
        <f t="shared" si="104"/>
        <v>26-35</v>
      </c>
      <c r="AI1119" t="str">
        <f t="shared" si="105"/>
        <v>2. 3K-6K</v>
      </c>
      <c r="AJ1119" s="1" t="str">
        <f t="shared" si="106"/>
        <v>2. 2-5 yrs</v>
      </c>
      <c r="AK1119" s="1" t="str">
        <f t="shared" si="107"/>
        <v>4. Very High</v>
      </c>
      <c r="AL1119" s="1" t="str">
        <f t="shared" si="108"/>
        <v>2. Good</v>
      </c>
    </row>
    <row r="1120" spans="1:38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f t="shared" si="103"/>
        <v>0</v>
      </c>
      <c r="AH1120" t="str">
        <f t="shared" si="104"/>
        <v>26-35</v>
      </c>
      <c r="AI1120" t="str">
        <f t="shared" si="105"/>
        <v>1. Under 3K</v>
      </c>
      <c r="AJ1120" s="1" t="str">
        <f t="shared" si="106"/>
        <v>1. 0-1 yrs</v>
      </c>
      <c r="AK1120" s="1" t="str">
        <f t="shared" si="107"/>
        <v>4. Very High</v>
      </c>
      <c r="AL1120" s="1" t="str">
        <f t="shared" si="108"/>
        <v>3. Better</v>
      </c>
    </row>
    <row r="1121" spans="1:38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f t="shared" si="103"/>
        <v>0</v>
      </c>
      <c r="AH1121" t="str">
        <f t="shared" si="104"/>
        <v>36-45</v>
      </c>
      <c r="AI1121" t="str">
        <f t="shared" si="105"/>
        <v>3. 6K-10K</v>
      </c>
      <c r="AJ1121" s="1" t="str">
        <f t="shared" si="106"/>
        <v>3. 6-10 yrs</v>
      </c>
      <c r="AK1121" s="1" t="str">
        <f t="shared" si="107"/>
        <v>2. Medium</v>
      </c>
      <c r="AL1121" s="1" t="str">
        <f t="shared" si="108"/>
        <v>3. Better</v>
      </c>
    </row>
    <row r="1122" spans="1:38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f t="shared" si="103"/>
        <v>0</v>
      </c>
      <c r="AH1122" t="str">
        <f t="shared" si="104"/>
        <v>36-45</v>
      </c>
      <c r="AI1122" t="str">
        <f t="shared" si="105"/>
        <v>2. 3K-6K</v>
      </c>
      <c r="AJ1122" s="1" t="str">
        <f t="shared" si="106"/>
        <v>2. 2-5 yrs</v>
      </c>
      <c r="AK1122" s="1" t="str">
        <f t="shared" si="107"/>
        <v>2. Medium</v>
      </c>
      <c r="AL1122" s="1" t="str">
        <f t="shared" si="108"/>
        <v>4. Best</v>
      </c>
    </row>
    <row r="1123" spans="1:38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f t="shared" si="103"/>
        <v>0</v>
      </c>
      <c r="AH1123" t="str">
        <f t="shared" si="104"/>
        <v>36-45</v>
      </c>
      <c r="AI1123" t="str">
        <f t="shared" si="105"/>
        <v>3. 6K-10K</v>
      </c>
      <c r="AJ1123" s="1" t="str">
        <f t="shared" si="106"/>
        <v>1. 0-1 yrs</v>
      </c>
      <c r="AK1123" s="1" t="str">
        <f t="shared" si="107"/>
        <v>3. High</v>
      </c>
      <c r="AL1123" s="1" t="str">
        <f t="shared" si="108"/>
        <v>3. Better</v>
      </c>
    </row>
    <row r="1124" spans="1:38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f t="shared" si="103"/>
        <v>0</v>
      </c>
      <c r="AH1124" t="str">
        <f t="shared" si="104"/>
        <v>26-35</v>
      </c>
      <c r="AI1124" t="str">
        <f t="shared" si="105"/>
        <v>2. 3K-6K</v>
      </c>
      <c r="AJ1124" s="1" t="str">
        <f t="shared" si="106"/>
        <v>3. 6-10 yrs</v>
      </c>
      <c r="AK1124" s="1" t="str">
        <f t="shared" si="107"/>
        <v>1. Low</v>
      </c>
      <c r="AL1124" s="1" t="str">
        <f t="shared" si="108"/>
        <v>3. Better</v>
      </c>
    </row>
    <row r="1125" spans="1:38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f t="shared" si="103"/>
        <v>0</v>
      </c>
      <c r="AH1125" t="str">
        <f t="shared" si="104"/>
        <v>26-35</v>
      </c>
      <c r="AI1125" t="str">
        <f t="shared" si="105"/>
        <v>3. 6K-10K</v>
      </c>
      <c r="AJ1125" s="1" t="str">
        <f t="shared" si="106"/>
        <v>2. 2-5 yrs</v>
      </c>
      <c r="AK1125" s="1" t="str">
        <f t="shared" si="107"/>
        <v>3. High</v>
      </c>
      <c r="AL1125" s="1" t="str">
        <f t="shared" si="108"/>
        <v>3. Better</v>
      </c>
    </row>
    <row r="1126" spans="1:38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f t="shared" si="103"/>
        <v>0</v>
      </c>
      <c r="AH1126" t="str">
        <f t="shared" si="104"/>
        <v>36-45</v>
      </c>
      <c r="AI1126" t="str">
        <f t="shared" si="105"/>
        <v>3. 6K-10K</v>
      </c>
      <c r="AJ1126" s="1" t="str">
        <f t="shared" si="106"/>
        <v>3. 6-10 yrs</v>
      </c>
      <c r="AK1126" s="1" t="str">
        <f t="shared" si="107"/>
        <v>3. High</v>
      </c>
      <c r="AL1126" s="1" t="str">
        <f t="shared" si="108"/>
        <v>3. Better</v>
      </c>
    </row>
    <row r="1127" spans="1:38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f t="shared" si="103"/>
        <v>0</v>
      </c>
      <c r="AH1127" t="str">
        <f t="shared" si="104"/>
        <v>26-35</v>
      </c>
      <c r="AI1127" t="str">
        <f t="shared" si="105"/>
        <v>3. 6K-10K</v>
      </c>
      <c r="AJ1127" s="1" t="str">
        <f t="shared" si="106"/>
        <v>3. 6-10 yrs</v>
      </c>
      <c r="AK1127" s="1" t="str">
        <f t="shared" si="107"/>
        <v>4. Very High</v>
      </c>
      <c r="AL1127" s="1" t="str">
        <f t="shared" si="108"/>
        <v>4. Best</v>
      </c>
    </row>
    <row r="1128" spans="1:38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f t="shared" si="103"/>
        <v>0</v>
      </c>
      <c r="AH1128" t="str">
        <f t="shared" si="104"/>
        <v>46-55</v>
      </c>
      <c r="AI1128" t="str">
        <f t="shared" si="105"/>
        <v>4. 10K+</v>
      </c>
      <c r="AJ1128" s="1" t="str">
        <f t="shared" si="106"/>
        <v>1. 0-1 yrs</v>
      </c>
      <c r="AK1128" s="1" t="str">
        <f t="shared" si="107"/>
        <v>3. High</v>
      </c>
      <c r="AL1128" s="1" t="str">
        <f t="shared" si="108"/>
        <v>3. Better</v>
      </c>
    </row>
    <row r="1129" spans="1:38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f t="shared" si="103"/>
        <v>0</v>
      </c>
      <c r="AH1129" t="str">
        <f t="shared" si="104"/>
        <v>18-25</v>
      </c>
      <c r="AI1129" t="str">
        <f t="shared" si="105"/>
        <v>1. Under 3K</v>
      </c>
      <c r="AJ1129" s="1" t="str">
        <f t="shared" si="106"/>
        <v>2. 2-5 yrs</v>
      </c>
      <c r="AK1129" s="1" t="str">
        <f t="shared" si="107"/>
        <v>3. High</v>
      </c>
      <c r="AL1129" s="1" t="str">
        <f t="shared" si="108"/>
        <v>3. Better</v>
      </c>
    </row>
    <row r="1130" spans="1:38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f t="shared" si="103"/>
        <v>0</v>
      </c>
      <c r="AH1130" t="str">
        <f t="shared" si="104"/>
        <v>36-45</v>
      </c>
      <c r="AI1130" t="str">
        <f t="shared" si="105"/>
        <v>2. 3K-6K</v>
      </c>
      <c r="AJ1130" s="1" t="str">
        <f t="shared" si="106"/>
        <v>2. 2-5 yrs</v>
      </c>
      <c r="AK1130" s="1" t="str">
        <f t="shared" si="107"/>
        <v>1. Low</v>
      </c>
      <c r="AL1130" s="1" t="str">
        <f t="shared" si="108"/>
        <v>3. Better</v>
      </c>
    </row>
    <row r="1131" spans="1:38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f t="shared" si="103"/>
        <v>0</v>
      </c>
      <c r="AH1131" t="str">
        <f t="shared" si="104"/>
        <v>36-45</v>
      </c>
      <c r="AI1131" t="str">
        <f t="shared" si="105"/>
        <v>4. 10K+</v>
      </c>
      <c r="AJ1131" s="1" t="str">
        <f t="shared" si="106"/>
        <v>1. 0-1 yrs</v>
      </c>
      <c r="AK1131" s="1" t="str">
        <f t="shared" si="107"/>
        <v>4. Very High</v>
      </c>
      <c r="AL1131" s="1" t="str">
        <f t="shared" si="108"/>
        <v>3. Better</v>
      </c>
    </row>
    <row r="1132" spans="1:38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f t="shared" si="103"/>
        <v>0</v>
      </c>
      <c r="AH1132" t="str">
        <f t="shared" si="104"/>
        <v>26-35</v>
      </c>
      <c r="AI1132" t="str">
        <f t="shared" si="105"/>
        <v>2. 3K-6K</v>
      </c>
      <c r="AJ1132" s="1" t="str">
        <f t="shared" si="106"/>
        <v>3. 6-10 yrs</v>
      </c>
      <c r="AK1132" s="1" t="str">
        <f t="shared" si="107"/>
        <v>3. High</v>
      </c>
      <c r="AL1132" s="1" t="str">
        <f t="shared" si="108"/>
        <v>2. Good</v>
      </c>
    </row>
    <row r="1133" spans="1:38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f t="shared" si="103"/>
        <v>0</v>
      </c>
      <c r="AH1133" t="str">
        <f t="shared" si="104"/>
        <v>26-35</v>
      </c>
      <c r="AI1133" t="str">
        <f t="shared" si="105"/>
        <v>2. 3K-6K</v>
      </c>
      <c r="AJ1133" s="1" t="str">
        <f t="shared" si="106"/>
        <v>3. 6-10 yrs</v>
      </c>
      <c r="AK1133" s="1" t="str">
        <f t="shared" si="107"/>
        <v>3. High</v>
      </c>
      <c r="AL1133" s="1" t="str">
        <f t="shared" si="108"/>
        <v>2. Good</v>
      </c>
    </row>
    <row r="1134" spans="1:38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f t="shared" si="103"/>
        <v>0</v>
      </c>
      <c r="AH1134" t="str">
        <f t="shared" si="104"/>
        <v>36-45</v>
      </c>
      <c r="AI1134" t="str">
        <f t="shared" si="105"/>
        <v>2. 3K-6K</v>
      </c>
      <c r="AJ1134" s="1" t="str">
        <f t="shared" si="106"/>
        <v>2. 2-5 yrs</v>
      </c>
      <c r="AK1134" s="1" t="str">
        <f t="shared" si="107"/>
        <v>1. Low</v>
      </c>
      <c r="AL1134" s="1" t="str">
        <f t="shared" si="108"/>
        <v>3. Better</v>
      </c>
    </row>
    <row r="1135" spans="1:38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f t="shared" si="103"/>
        <v>0</v>
      </c>
      <c r="AH1135" t="str">
        <f t="shared" si="104"/>
        <v>36-45</v>
      </c>
      <c r="AI1135" t="str">
        <f t="shared" si="105"/>
        <v>2. 3K-6K</v>
      </c>
      <c r="AJ1135" s="1" t="str">
        <f t="shared" si="106"/>
        <v>3. 6-10 yrs</v>
      </c>
      <c r="AK1135" s="1" t="str">
        <f t="shared" si="107"/>
        <v>2. Medium</v>
      </c>
      <c r="AL1135" s="1" t="str">
        <f t="shared" si="108"/>
        <v>3. Better</v>
      </c>
    </row>
    <row r="1136" spans="1:38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f t="shared" si="103"/>
        <v>0</v>
      </c>
      <c r="AH1136" t="str">
        <f t="shared" si="104"/>
        <v>26-35</v>
      </c>
      <c r="AI1136" t="str">
        <f t="shared" si="105"/>
        <v>1. Under 3K</v>
      </c>
      <c r="AJ1136" s="1" t="str">
        <f t="shared" si="106"/>
        <v>1. 0-1 yrs</v>
      </c>
      <c r="AK1136" s="1" t="str">
        <f t="shared" si="107"/>
        <v>4. Very High</v>
      </c>
      <c r="AL1136" s="1" t="str">
        <f t="shared" si="108"/>
        <v>2. Good</v>
      </c>
    </row>
    <row r="1137" spans="1:38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f t="shared" si="103"/>
        <v>0</v>
      </c>
      <c r="AH1137" t="str">
        <f t="shared" si="104"/>
        <v>46-55</v>
      </c>
      <c r="AI1137" t="str">
        <f t="shared" si="105"/>
        <v>4. 10K+</v>
      </c>
      <c r="AJ1137" s="1" t="str">
        <f t="shared" si="106"/>
        <v>4. 10+ yrs</v>
      </c>
      <c r="AK1137" s="1" t="str">
        <f t="shared" si="107"/>
        <v>1. Low</v>
      </c>
      <c r="AL1137" s="1" t="str">
        <f t="shared" si="108"/>
        <v>1. Bad</v>
      </c>
    </row>
    <row r="1138" spans="1:38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f t="shared" si="103"/>
        <v>1</v>
      </c>
      <c r="AH1138" t="str">
        <f t="shared" si="104"/>
        <v>26-35</v>
      </c>
      <c r="AI1138" t="str">
        <f t="shared" si="105"/>
        <v>1. Under 3K</v>
      </c>
      <c r="AJ1138" s="1" t="str">
        <f t="shared" si="106"/>
        <v>1. 0-1 yrs</v>
      </c>
      <c r="AK1138" s="1" t="str">
        <f t="shared" si="107"/>
        <v>2. Medium</v>
      </c>
      <c r="AL1138" s="1" t="str">
        <f t="shared" si="108"/>
        <v>3. Better</v>
      </c>
    </row>
    <row r="1139" spans="1:38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f t="shared" si="103"/>
        <v>0</v>
      </c>
      <c r="AH1139" t="str">
        <f t="shared" si="104"/>
        <v>18-25</v>
      </c>
      <c r="AI1139" t="str">
        <f t="shared" si="105"/>
        <v>1. Under 3K</v>
      </c>
      <c r="AJ1139" s="1" t="str">
        <f t="shared" si="106"/>
        <v>2. 2-5 yrs</v>
      </c>
      <c r="AK1139" s="1" t="str">
        <f t="shared" si="107"/>
        <v>3. High</v>
      </c>
      <c r="AL1139" s="1" t="str">
        <f t="shared" si="108"/>
        <v>2. Good</v>
      </c>
    </row>
    <row r="1140" spans="1:38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f t="shared" si="103"/>
        <v>0</v>
      </c>
      <c r="AH1140" t="str">
        <f t="shared" si="104"/>
        <v>46-55</v>
      </c>
      <c r="AI1140" t="str">
        <f t="shared" si="105"/>
        <v>4. 10K+</v>
      </c>
      <c r="AJ1140" s="1" t="str">
        <f t="shared" si="106"/>
        <v>4. 10+ yrs</v>
      </c>
      <c r="AK1140" s="1" t="str">
        <f t="shared" si="107"/>
        <v>3. High</v>
      </c>
      <c r="AL1140" s="1" t="str">
        <f t="shared" si="108"/>
        <v>3. Better</v>
      </c>
    </row>
    <row r="1141" spans="1:38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f t="shared" si="103"/>
        <v>0</v>
      </c>
      <c r="AH1141" t="str">
        <f t="shared" si="104"/>
        <v>26-35</v>
      </c>
      <c r="AI1141" t="str">
        <f t="shared" si="105"/>
        <v>2. 3K-6K</v>
      </c>
      <c r="AJ1141" s="1" t="str">
        <f t="shared" si="106"/>
        <v>2. 2-5 yrs</v>
      </c>
      <c r="AK1141" s="1" t="str">
        <f t="shared" si="107"/>
        <v>4. Very High</v>
      </c>
      <c r="AL1141" s="1" t="str">
        <f t="shared" si="108"/>
        <v>3. Better</v>
      </c>
    </row>
    <row r="1142" spans="1:38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f t="shared" si="103"/>
        <v>0</v>
      </c>
      <c r="AH1142" t="str">
        <f t="shared" si="104"/>
        <v>36-45</v>
      </c>
      <c r="AI1142" t="str">
        <f t="shared" si="105"/>
        <v>4. 10K+</v>
      </c>
      <c r="AJ1142" s="1" t="str">
        <f t="shared" si="106"/>
        <v>4. 10+ yrs</v>
      </c>
      <c r="AK1142" s="1" t="str">
        <f t="shared" si="107"/>
        <v>4. Very High</v>
      </c>
      <c r="AL1142" s="1" t="str">
        <f t="shared" si="108"/>
        <v>2. Good</v>
      </c>
    </row>
    <row r="1143" spans="1:38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f t="shared" si="103"/>
        <v>0</v>
      </c>
      <c r="AH1143" t="str">
        <f t="shared" si="104"/>
        <v>26-35</v>
      </c>
      <c r="AI1143" t="str">
        <f t="shared" si="105"/>
        <v>1. Under 3K</v>
      </c>
      <c r="AJ1143" s="1" t="str">
        <f t="shared" si="106"/>
        <v>3. 6-10 yrs</v>
      </c>
      <c r="AK1143" s="1" t="str">
        <f t="shared" si="107"/>
        <v>2. Medium</v>
      </c>
      <c r="AL1143" s="1" t="str">
        <f t="shared" si="108"/>
        <v>2. Good</v>
      </c>
    </row>
    <row r="1144" spans="1:38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f t="shared" si="103"/>
        <v>0</v>
      </c>
      <c r="AH1144" t="str">
        <f t="shared" si="104"/>
        <v>36-45</v>
      </c>
      <c r="AI1144" t="str">
        <f t="shared" si="105"/>
        <v>2. 3K-6K</v>
      </c>
      <c r="AJ1144" s="1" t="str">
        <f t="shared" si="106"/>
        <v>3. 6-10 yrs</v>
      </c>
      <c r="AK1144" s="1" t="str">
        <f t="shared" si="107"/>
        <v>1. Low</v>
      </c>
      <c r="AL1144" s="1" t="str">
        <f t="shared" si="108"/>
        <v>3. Better</v>
      </c>
    </row>
    <row r="1145" spans="1:38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f t="shared" si="103"/>
        <v>0</v>
      </c>
      <c r="AH1145" t="str">
        <f t="shared" si="104"/>
        <v>36-45</v>
      </c>
      <c r="AI1145" t="str">
        <f t="shared" si="105"/>
        <v>2. 3K-6K</v>
      </c>
      <c r="AJ1145" s="1" t="str">
        <f t="shared" si="106"/>
        <v>3. 6-10 yrs</v>
      </c>
      <c r="AK1145" s="1" t="str">
        <f t="shared" si="107"/>
        <v>1. Low</v>
      </c>
      <c r="AL1145" s="1" t="str">
        <f t="shared" si="108"/>
        <v>3. Better</v>
      </c>
    </row>
    <row r="1146" spans="1:38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f t="shared" si="103"/>
        <v>0</v>
      </c>
      <c r="AH1146" t="str">
        <f t="shared" si="104"/>
        <v>26-35</v>
      </c>
      <c r="AI1146" t="str">
        <f t="shared" si="105"/>
        <v>2. 3K-6K</v>
      </c>
      <c r="AJ1146" s="1" t="str">
        <f t="shared" si="106"/>
        <v>2. 2-5 yrs</v>
      </c>
      <c r="AK1146" s="1" t="str">
        <f t="shared" si="107"/>
        <v>1. Low</v>
      </c>
      <c r="AL1146" s="1" t="str">
        <f t="shared" si="108"/>
        <v>3. Better</v>
      </c>
    </row>
    <row r="1147" spans="1:38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f t="shared" si="103"/>
        <v>0</v>
      </c>
      <c r="AH1147" t="str">
        <f t="shared" si="104"/>
        <v>36-45</v>
      </c>
      <c r="AI1147" t="str">
        <f t="shared" si="105"/>
        <v>2. 3K-6K</v>
      </c>
      <c r="AJ1147" s="1" t="str">
        <f t="shared" si="106"/>
        <v>2. 2-5 yrs</v>
      </c>
      <c r="AK1147" s="1" t="str">
        <f t="shared" si="107"/>
        <v>3. High</v>
      </c>
      <c r="AL1147" s="1" t="str">
        <f t="shared" si="108"/>
        <v>3. Better</v>
      </c>
    </row>
    <row r="1148" spans="1:38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f t="shared" si="103"/>
        <v>0</v>
      </c>
      <c r="AH1148" t="str">
        <f t="shared" si="104"/>
        <v>26-35</v>
      </c>
      <c r="AI1148" t="str">
        <f t="shared" si="105"/>
        <v>2. 3K-6K</v>
      </c>
      <c r="AJ1148" s="1" t="str">
        <f t="shared" si="106"/>
        <v>3. 6-10 yrs</v>
      </c>
      <c r="AK1148" s="1" t="str">
        <f t="shared" si="107"/>
        <v>4. Very High</v>
      </c>
      <c r="AL1148" s="1" t="str">
        <f t="shared" si="108"/>
        <v>3. Better</v>
      </c>
    </row>
    <row r="1149" spans="1:38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f t="shared" si="103"/>
        <v>0</v>
      </c>
      <c r="AH1149" t="str">
        <f t="shared" si="104"/>
        <v>46-55</v>
      </c>
      <c r="AI1149" t="str">
        <f t="shared" si="105"/>
        <v>2. 3K-6K</v>
      </c>
      <c r="AJ1149" s="1" t="str">
        <f t="shared" si="106"/>
        <v>3. 6-10 yrs</v>
      </c>
      <c r="AK1149" s="1" t="str">
        <f t="shared" si="107"/>
        <v>1. Low</v>
      </c>
      <c r="AL1149" s="1" t="str">
        <f t="shared" si="108"/>
        <v>2. Good</v>
      </c>
    </row>
    <row r="1150" spans="1:38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f t="shared" si="103"/>
        <v>0</v>
      </c>
      <c r="AH1150" t="str">
        <f t="shared" si="104"/>
        <v>36-45</v>
      </c>
      <c r="AI1150" t="str">
        <f t="shared" si="105"/>
        <v>2. 3K-6K</v>
      </c>
      <c r="AJ1150" s="1" t="str">
        <f t="shared" si="106"/>
        <v>3. 6-10 yrs</v>
      </c>
      <c r="AK1150" s="1" t="str">
        <f t="shared" si="107"/>
        <v>1. Low</v>
      </c>
      <c r="AL1150" s="1" t="str">
        <f t="shared" si="108"/>
        <v>3. Better</v>
      </c>
    </row>
    <row r="1151" spans="1:38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f t="shared" si="103"/>
        <v>0</v>
      </c>
      <c r="AH1151" t="str">
        <f t="shared" si="104"/>
        <v>26-35</v>
      </c>
      <c r="AI1151" t="str">
        <f t="shared" si="105"/>
        <v>2. 3K-6K</v>
      </c>
      <c r="AJ1151" s="1" t="str">
        <f t="shared" si="106"/>
        <v>3. 6-10 yrs</v>
      </c>
      <c r="AK1151" s="1" t="str">
        <f t="shared" si="107"/>
        <v>1. Low</v>
      </c>
      <c r="AL1151" s="1" t="str">
        <f t="shared" si="108"/>
        <v>3. Better</v>
      </c>
    </row>
    <row r="1152" spans="1:38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f t="shared" si="103"/>
        <v>0</v>
      </c>
      <c r="AH1152" t="str">
        <f t="shared" si="104"/>
        <v>26-35</v>
      </c>
      <c r="AI1152" t="str">
        <f t="shared" si="105"/>
        <v>2. 3K-6K</v>
      </c>
      <c r="AJ1152" s="1" t="str">
        <f t="shared" si="106"/>
        <v>4. 10+ yrs</v>
      </c>
      <c r="AK1152" s="1" t="str">
        <f t="shared" si="107"/>
        <v>1. Low</v>
      </c>
      <c r="AL1152" s="1" t="str">
        <f t="shared" si="108"/>
        <v>3. Better</v>
      </c>
    </row>
    <row r="1153" spans="1:38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f t="shared" si="103"/>
        <v>0</v>
      </c>
      <c r="AH1153" t="str">
        <f t="shared" si="104"/>
        <v>26-35</v>
      </c>
      <c r="AI1153" t="str">
        <f t="shared" si="105"/>
        <v>2. 3K-6K</v>
      </c>
      <c r="AJ1153" s="1" t="str">
        <f t="shared" si="106"/>
        <v>2. 2-5 yrs</v>
      </c>
      <c r="AK1153" s="1" t="str">
        <f t="shared" si="107"/>
        <v>1. Low</v>
      </c>
      <c r="AL1153" s="1" t="str">
        <f t="shared" si="108"/>
        <v>2. Good</v>
      </c>
    </row>
    <row r="1154" spans="1:38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f t="shared" ref="AG1154:AG1217" si="109">IF(B1154="Yes",1,0)</f>
        <v>0</v>
      </c>
      <c r="AH1154" t="str">
        <f t="shared" ref="AH1154:AH1217" si="110">IF(A1154&lt;26,"18-25",IF(A1154&lt;36,"26-35",IF(A1154&lt;46,"36-45",IF(A1154&lt;56,"46-55","56+"))))</f>
        <v>18-25</v>
      </c>
      <c r="AI1154" t="str">
        <f t="shared" ref="AI1154:AI1217" si="111">IF(R1154&lt;3000,"1. Under 3K",IF(R1154&lt;6000,"2. 3K-6K",IF(R1154&lt;10000,"3. 6K-10K","4. 10K+")))</f>
        <v>2. 3K-6K</v>
      </c>
      <c r="AJ1154" s="1" t="str">
        <f t="shared" ref="AJ1154:AJ1217" si="112">IF(AC1154&lt;2,"1. 0-1 yrs",IF(AC1154&lt;6,"2. 2-5 yrs",IF(AC1154&lt;11,"3. 6-10 yrs","4. 10+ yrs")))</f>
        <v>2. 2-5 yrs</v>
      </c>
      <c r="AK1154" s="1" t="str">
        <f t="shared" ref="AK1154:AK1217" si="113">CHOOSE(P1154,"1. Low","2. Medium","3. High","4. Very High")</f>
        <v>4. Very High</v>
      </c>
      <c r="AL1154" s="1" t="str">
        <f t="shared" ref="AL1154:AL1217" si="114">CHOOSE(AB1154,"1. Bad","2. Good","3. Better","4. Best")</f>
        <v>3. Better</v>
      </c>
    </row>
    <row r="1155" spans="1:38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f t="shared" si="109"/>
        <v>1</v>
      </c>
      <c r="AH1155" t="str">
        <f t="shared" si="110"/>
        <v>18-25</v>
      </c>
      <c r="AI1155" t="str">
        <f t="shared" si="111"/>
        <v>1. Under 3K</v>
      </c>
      <c r="AJ1155" s="1" t="str">
        <f t="shared" si="112"/>
        <v>1. 0-1 yrs</v>
      </c>
      <c r="AK1155" s="1" t="str">
        <f t="shared" si="113"/>
        <v>4. Very High</v>
      </c>
      <c r="AL1155" s="1" t="str">
        <f t="shared" si="114"/>
        <v>4. Best</v>
      </c>
    </row>
    <row r="1156" spans="1:38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f t="shared" si="109"/>
        <v>0</v>
      </c>
      <c r="AH1156" t="str">
        <f t="shared" si="110"/>
        <v>46-55</v>
      </c>
      <c r="AI1156" t="str">
        <f t="shared" si="111"/>
        <v>4. 10K+</v>
      </c>
      <c r="AJ1156" s="1" t="str">
        <f t="shared" si="112"/>
        <v>2. 2-5 yrs</v>
      </c>
      <c r="AK1156" s="1" t="str">
        <f t="shared" si="113"/>
        <v>3. High</v>
      </c>
      <c r="AL1156" s="1" t="str">
        <f t="shared" si="114"/>
        <v>3. Better</v>
      </c>
    </row>
    <row r="1157" spans="1:38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f t="shared" si="109"/>
        <v>0</v>
      </c>
      <c r="AH1157" t="str">
        <f t="shared" si="110"/>
        <v>36-45</v>
      </c>
      <c r="AI1157" t="str">
        <f t="shared" si="111"/>
        <v>2. 3K-6K</v>
      </c>
      <c r="AJ1157" s="1" t="str">
        <f t="shared" si="112"/>
        <v>3. 6-10 yrs</v>
      </c>
      <c r="AK1157" s="1" t="str">
        <f t="shared" si="113"/>
        <v>3. High</v>
      </c>
      <c r="AL1157" s="1" t="str">
        <f t="shared" si="114"/>
        <v>3. Better</v>
      </c>
    </row>
    <row r="1158" spans="1:38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f t="shared" si="109"/>
        <v>0</v>
      </c>
      <c r="AH1158" t="str">
        <f t="shared" si="110"/>
        <v>36-45</v>
      </c>
      <c r="AI1158" t="str">
        <f t="shared" si="111"/>
        <v>4. 10K+</v>
      </c>
      <c r="AJ1158" s="1" t="str">
        <f t="shared" si="112"/>
        <v>4. 10+ yrs</v>
      </c>
      <c r="AK1158" s="1" t="str">
        <f t="shared" si="113"/>
        <v>3. High</v>
      </c>
      <c r="AL1158" s="1" t="str">
        <f t="shared" si="114"/>
        <v>3. Better</v>
      </c>
    </row>
    <row r="1159" spans="1:38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f t="shared" si="109"/>
        <v>0</v>
      </c>
      <c r="AH1159" t="str">
        <f t="shared" si="110"/>
        <v>26-35</v>
      </c>
      <c r="AI1159" t="str">
        <f t="shared" si="111"/>
        <v>2. 3K-6K</v>
      </c>
      <c r="AJ1159" s="1" t="str">
        <f t="shared" si="112"/>
        <v>4. 10+ yrs</v>
      </c>
      <c r="AK1159" s="1" t="str">
        <f t="shared" si="113"/>
        <v>3. High</v>
      </c>
      <c r="AL1159" s="1" t="str">
        <f t="shared" si="114"/>
        <v>3. Better</v>
      </c>
    </row>
    <row r="1160" spans="1:38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f t="shared" si="109"/>
        <v>0</v>
      </c>
      <c r="AH1160" t="str">
        <f t="shared" si="110"/>
        <v>36-45</v>
      </c>
      <c r="AI1160" t="str">
        <f t="shared" si="111"/>
        <v>2. 3K-6K</v>
      </c>
      <c r="AJ1160" s="1" t="str">
        <f t="shared" si="112"/>
        <v>2. 2-5 yrs</v>
      </c>
      <c r="AK1160" s="1" t="str">
        <f t="shared" si="113"/>
        <v>3. High</v>
      </c>
      <c r="AL1160" s="1" t="str">
        <f t="shared" si="114"/>
        <v>2. Good</v>
      </c>
    </row>
    <row r="1161" spans="1:38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f t="shared" si="109"/>
        <v>0</v>
      </c>
      <c r="AH1161" t="str">
        <f t="shared" si="110"/>
        <v>36-45</v>
      </c>
      <c r="AI1161" t="str">
        <f t="shared" si="111"/>
        <v>2. 3K-6K</v>
      </c>
      <c r="AJ1161" s="1" t="str">
        <f t="shared" si="112"/>
        <v>3. 6-10 yrs</v>
      </c>
      <c r="AK1161" s="1" t="str">
        <f t="shared" si="113"/>
        <v>3. High</v>
      </c>
      <c r="AL1161" s="1" t="str">
        <f t="shared" si="114"/>
        <v>1. Bad</v>
      </c>
    </row>
    <row r="1162" spans="1:38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f t="shared" si="109"/>
        <v>0</v>
      </c>
      <c r="AH1162" t="str">
        <f t="shared" si="110"/>
        <v>36-45</v>
      </c>
      <c r="AI1162" t="str">
        <f t="shared" si="111"/>
        <v>2. 3K-6K</v>
      </c>
      <c r="AJ1162" s="1" t="str">
        <f t="shared" si="112"/>
        <v>3. 6-10 yrs</v>
      </c>
      <c r="AK1162" s="1" t="str">
        <f t="shared" si="113"/>
        <v>4. Very High</v>
      </c>
      <c r="AL1162" s="1" t="str">
        <f t="shared" si="114"/>
        <v>3. Better</v>
      </c>
    </row>
    <row r="1163" spans="1:38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f t="shared" si="109"/>
        <v>0</v>
      </c>
      <c r="AH1163" t="str">
        <f t="shared" si="110"/>
        <v>36-45</v>
      </c>
      <c r="AI1163" t="str">
        <f t="shared" si="111"/>
        <v>3. 6K-10K</v>
      </c>
      <c r="AJ1163" s="1" t="str">
        <f t="shared" si="112"/>
        <v>2. 2-5 yrs</v>
      </c>
      <c r="AK1163" s="1" t="str">
        <f t="shared" si="113"/>
        <v>3. High</v>
      </c>
      <c r="AL1163" s="1" t="str">
        <f t="shared" si="114"/>
        <v>4. Best</v>
      </c>
    </row>
    <row r="1164" spans="1:38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f t="shared" si="109"/>
        <v>1</v>
      </c>
      <c r="AH1164" t="str">
        <f t="shared" si="110"/>
        <v>26-35</v>
      </c>
      <c r="AI1164" t="str">
        <f t="shared" si="111"/>
        <v>4. 10K+</v>
      </c>
      <c r="AJ1164" s="1" t="str">
        <f t="shared" si="112"/>
        <v>4. 10+ yrs</v>
      </c>
      <c r="AK1164" s="1" t="str">
        <f t="shared" si="113"/>
        <v>1. Low</v>
      </c>
      <c r="AL1164" s="1" t="str">
        <f t="shared" si="114"/>
        <v>3. Better</v>
      </c>
    </row>
    <row r="1165" spans="1:38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f t="shared" si="109"/>
        <v>0</v>
      </c>
      <c r="AH1165" t="str">
        <f t="shared" si="110"/>
        <v>36-45</v>
      </c>
      <c r="AI1165" t="str">
        <f t="shared" si="111"/>
        <v>2. 3K-6K</v>
      </c>
      <c r="AJ1165" s="1" t="str">
        <f t="shared" si="112"/>
        <v>3. 6-10 yrs</v>
      </c>
      <c r="AK1165" s="1" t="str">
        <f t="shared" si="113"/>
        <v>2. Medium</v>
      </c>
      <c r="AL1165" s="1" t="str">
        <f t="shared" si="114"/>
        <v>1. Bad</v>
      </c>
    </row>
    <row r="1166" spans="1:38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f t="shared" si="109"/>
        <v>0</v>
      </c>
      <c r="AH1166" t="str">
        <f t="shared" si="110"/>
        <v>36-45</v>
      </c>
      <c r="AI1166" t="str">
        <f t="shared" si="111"/>
        <v>3. 6K-10K</v>
      </c>
      <c r="AJ1166" s="1" t="str">
        <f t="shared" si="112"/>
        <v>2. 2-5 yrs</v>
      </c>
      <c r="AK1166" s="1" t="str">
        <f t="shared" si="113"/>
        <v>4. Very High</v>
      </c>
      <c r="AL1166" s="1" t="str">
        <f t="shared" si="114"/>
        <v>2. Good</v>
      </c>
    </row>
    <row r="1167" spans="1:38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f t="shared" si="109"/>
        <v>0</v>
      </c>
      <c r="AH1167" t="str">
        <f t="shared" si="110"/>
        <v>36-45</v>
      </c>
      <c r="AI1167" t="str">
        <f t="shared" si="111"/>
        <v>2. 3K-6K</v>
      </c>
      <c r="AJ1167" s="1" t="str">
        <f t="shared" si="112"/>
        <v>3. 6-10 yrs</v>
      </c>
      <c r="AK1167" s="1" t="str">
        <f t="shared" si="113"/>
        <v>4. Very High</v>
      </c>
      <c r="AL1167" s="1" t="str">
        <f t="shared" si="114"/>
        <v>3. Better</v>
      </c>
    </row>
    <row r="1168" spans="1:38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f t="shared" si="109"/>
        <v>0</v>
      </c>
      <c r="AH1168" t="str">
        <f t="shared" si="110"/>
        <v>46-55</v>
      </c>
      <c r="AI1168" t="str">
        <f t="shared" si="111"/>
        <v>4. 10K+</v>
      </c>
      <c r="AJ1168" s="1" t="str">
        <f t="shared" si="112"/>
        <v>2. 2-5 yrs</v>
      </c>
      <c r="AK1168" s="1" t="str">
        <f t="shared" si="113"/>
        <v>4. Very High</v>
      </c>
      <c r="AL1168" s="1" t="str">
        <f t="shared" si="114"/>
        <v>3. Better</v>
      </c>
    </row>
    <row r="1169" spans="1:38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f t="shared" si="109"/>
        <v>1</v>
      </c>
      <c r="AH1169" t="str">
        <f t="shared" si="110"/>
        <v>26-35</v>
      </c>
      <c r="AI1169" t="str">
        <f t="shared" si="111"/>
        <v>2. 3K-6K</v>
      </c>
      <c r="AJ1169" s="1" t="str">
        <f t="shared" si="112"/>
        <v>2. 2-5 yrs</v>
      </c>
      <c r="AK1169" s="1" t="str">
        <f t="shared" si="113"/>
        <v>4. Very High</v>
      </c>
      <c r="AL1169" s="1" t="str">
        <f t="shared" si="114"/>
        <v>2. Good</v>
      </c>
    </row>
    <row r="1170" spans="1:38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f t="shared" si="109"/>
        <v>0</v>
      </c>
      <c r="AH1170" t="str">
        <f t="shared" si="110"/>
        <v>18-25</v>
      </c>
      <c r="AI1170" t="str">
        <f t="shared" si="111"/>
        <v>2. 3K-6K</v>
      </c>
      <c r="AJ1170" s="1" t="str">
        <f t="shared" si="112"/>
        <v>3. 6-10 yrs</v>
      </c>
      <c r="AK1170" s="1" t="str">
        <f t="shared" si="113"/>
        <v>4. Very High</v>
      </c>
      <c r="AL1170" s="1" t="str">
        <f t="shared" si="114"/>
        <v>3. Better</v>
      </c>
    </row>
    <row r="1171" spans="1:38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f t="shared" si="109"/>
        <v>0</v>
      </c>
      <c r="AH1171" t="str">
        <f t="shared" si="110"/>
        <v>26-35</v>
      </c>
      <c r="AI1171" t="str">
        <f t="shared" si="111"/>
        <v>2. 3K-6K</v>
      </c>
      <c r="AJ1171" s="1" t="str">
        <f t="shared" si="112"/>
        <v>2. 2-5 yrs</v>
      </c>
      <c r="AK1171" s="1" t="str">
        <f t="shared" si="113"/>
        <v>3. High</v>
      </c>
      <c r="AL1171" s="1" t="str">
        <f t="shared" si="114"/>
        <v>3. Better</v>
      </c>
    </row>
    <row r="1172" spans="1:38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f t="shared" si="109"/>
        <v>0</v>
      </c>
      <c r="AH1172" t="str">
        <f t="shared" si="110"/>
        <v>26-35</v>
      </c>
      <c r="AI1172" t="str">
        <f t="shared" si="111"/>
        <v>1. Under 3K</v>
      </c>
      <c r="AJ1172" s="1" t="str">
        <f t="shared" si="112"/>
        <v>2. 2-5 yrs</v>
      </c>
      <c r="AK1172" s="1" t="str">
        <f t="shared" si="113"/>
        <v>4. Very High</v>
      </c>
      <c r="AL1172" s="1" t="str">
        <f t="shared" si="114"/>
        <v>2. Good</v>
      </c>
    </row>
    <row r="1173" spans="1:38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f t="shared" si="109"/>
        <v>1</v>
      </c>
      <c r="AH1173" t="str">
        <f t="shared" si="110"/>
        <v>36-45</v>
      </c>
      <c r="AI1173" t="str">
        <f t="shared" si="111"/>
        <v>1. Under 3K</v>
      </c>
      <c r="AJ1173" s="1" t="str">
        <f t="shared" si="112"/>
        <v>2. 2-5 yrs</v>
      </c>
      <c r="AK1173" s="1" t="str">
        <f t="shared" si="113"/>
        <v>1. Low</v>
      </c>
      <c r="AL1173" s="1" t="str">
        <f t="shared" si="114"/>
        <v>1. Bad</v>
      </c>
    </row>
    <row r="1174" spans="1:38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f t="shared" si="109"/>
        <v>0</v>
      </c>
      <c r="AH1174" t="str">
        <f t="shared" si="110"/>
        <v>26-35</v>
      </c>
      <c r="AI1174" t="str">
        <f t="shared" si="111"/>
        <v>2. 3K-6K</v>
      </c>
      <c r="AJ1174" s="1" t="str">
        <f t="shared" si="112"/>
        <v>2. 2-5 yrs</v>
      </c>
      <c r="AK1174" s="1" t="str">
        <f t="shared" si="113"/>
        <v>3. High</v>
      </c>
      <c r="AL1174" s="1" t="str">
        <f t="shared" si="114"/>
        <v>3. Better</v>
      </c>
    </row>
    <row r="1175" spans="1:38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f t="shared" si="109"/>
        <v>0</v>
      </c>
      <c r="AH1175" t="str">
        <f t="shared" si="110"/>
        <v>36-45</v>
      </c>
      <c r="AI1175" t="str">
        <f t="shared" si="111"/>
        <v>3. 6K-10K</v>
      </c>
      <c r="AJ1175" s="1" t="str">
        <f t="shared" si="112"/>
        <v>2. 2-5 yrs</v>
      </c>
      <c r="AK1175" s="1" t="str">
        <f t="shared" si="113"/>
        <v>1. Low</v>
      </c>
      <c r="AL1175" s="1" t="str">
        <f t="shared" si="114"/>
        <v>3. Better</v>
      </c>
    </row>
    <row r="1176" spans="1:38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f t="shared" si="109"/>
        <v>0</v>
      </c>
      <c r="AH1176" t="str">
        <f t="shared" si="110"/>
        <v>18-25</v>
      </c>
      <c r="AI1176" t="str">
        <f t="shared" si="111"/>
        <v>2. 3K-6K</v>
      </c>
      <c r="AJ1176" s="1" t="str">
        <f t="shared" si="112"/>
        <v>3. 6-10 yrs</v>
      </c>
      <c r="AK1176" s="1" t="str">
        <f t="shared" si="113"/>
        <v>3. High</v>
      </c>
      <c r="AL1176" s="1" t="str">
        <f t="shared" si="114"/>
        <v>3. Better</v>
      </c>
    </row>
    <row r="1177" spans="1:38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f t="shared" si="109"/>
        <v>0</v>
      </c>
      <c r="AH1177" t="str">
        <f t="shared" si="110"/>
        <v>36-45</v>
      </c>
      <c r="AI1177" t="str">
        <f t="shared" si="111"/>
        <v>2. 3K-6K</v>
      </c>
      <c r="AJ1177" s="1" t="str">
        <f t="shared" si="112"/>
        <v>2. 2-5 yrs</v>
      </c>
      <c r="AK1177" s="1" t="str">
        <f t="shared" si="113"/>
        <v>2. Medium</v>
      </c>
      <c r="AL1177" s="1" t="str">
        <f t="shared" si="114"/>
        <v>3. Better</v>
      </c>
    </row>
    <row r="1178" spans="1:38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f t="shared" si="109"/>
        <v>0</v>
      </c>
      <c r="AH1178" t="str">
        <f t="shared" si="110"/>
        <v>46-55</v>
      </c>
      <c r="AI1178" t="str">
        <f t="shared" si="111"/>
        <v>4. 10K+</v>
      </c>
      <c r="AJ1178" s="1" t="str">
        <f t="shared" si="112"/>
        <v>2. 2-5 yrs</v>
      </c>
      <c r="AK1178" s="1" t="str">
        <f t="shared" si="113"/>
        <v>2. Medium</v>
      </c>
      <c r="AL1178" s="1" t="str">
        <f t="shared" si="114"/>
        <v>3. Better</v>
      </c>
    </row>
    <row r="1179" spans="1:38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f t="shared" si="109"/>
        <v>0</v>
      </c>
      <c r="AH1179" t="str">
        <f t="shared" si="110"/>
        <v>46-55</v>
      </c>
      <c r="AI1179" t="str">
        <f t="shared" si="111"/>
        <v>4. 10K+</v>
      </c>
      <c r="AJ1179" s="1" t="str">
        <f t="shared" si="112"/>
        <v>4. 10+ yrs</v>
      </c>
      <c r="AK1179" s="1" t="str">
        <f t="shared" si="113"/>
        <v>1. Low</v>
      </c>
      <c r="AL1179" s="1" t="str">
        <f t="shared" si="114"/>
        <v>3. Better</v>
      </c>
    </row>
    <row r="1180" spans="1:38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f t="shared" si="109"/>
        <v>0</v>
      </c>
      <c r="AH1180" t="str">
        <f t="shared" si="110"/>
        <v>18-25</v>
      </c>
      <c r="AI1180" t="str">
        <f t="shared" si="111"/>
        <v>1. Under 3K</v>
      </c>
      <c r="AJ1180" s="1" t="str">
        <f t="shared" si="112"/>
        <v>2. 2-5 yrs</v>
      </c>
      <c r="AK1180" s="1" t="str">
        <f t="shared" si="113"/>
        <v>3. High</v>
      </c>
      <c r="AL1180" s="1" t="str">
        <f t="shared" si="114"/>
        <v>3. Better</v>
      </c>
    </row>
    <row r="1181" spans="1:38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f t="shared" si="109"/>
        <v>0</v>
      </c>
      <c r="AH1181" t="str">
        <f t="shared" si="110"/>
        <v>26-35</v>
      </c>
      <c r="AI1181" t="str">
        <f t="shared" si="111"/>
        <v>2. 3K-6K</v>
      </c>
      <c r="AJ1181" s="1" t="str">
        <f t="shared" si="112"/>
        <v>4. 10+ yrs</v>
      </c>
      <c r="AK1181" s="1" t="str">
        <f t="shared" si="113"/>
        <v>2. Medium</v>
      </c>
      <c r="AL1181" s="1" t="str">
        <f t="shared" si="114"/>
        <v>3. Better</v>
      </c>
    </row>
    <row r="1182" spans="1:38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f t="shared" si="109"/>
        <v>0</v>
      </c>
      <c r="AH1182" t="str">
        <f t="shared" si="110"/>
        <v>36-45</v>
      </c>
      <c r="AI1182" t="str">
        <f t="shared" si="111"/>
        <v>1. Under 3K</v>
      </c>
      <c r="AJ1182" s="1" t="str">
        <f t="shared" si="112"/>
        <v>2. 2-5 yrs</v>
      </c>
      <c r="AK1182" s="1" t="str">
        <f t="shared" si="113"/>
        <v>2. Medium</v>
      </c>
      <c r="AL1182" s="1" t="str">
        <f t="shared" si="114"/>
        <v>3. Better</v>
      </c>
    </row>
    <row r="1183" spans="1:38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f t="shared" si="109"/>
        <v>0</v>
      </c>
      <c r="AH1183" t="str">
        <f t="shared" si="110"/>
        <v>46-55</v>
      </c>
      <c r="AI1183" t="str">
        <f t="shared" si="111"/>
        <v>4. 10K+</v>
      </c>
      <c r="AJ1183" s="1" t="str">
        <f t="shared" si="112"/>
        <v>4. 10+ yrs</v>
      </c>
      <c r="AK1183" s="1" t="str">
        <f t="shared" si="113"/>
        <v>3. High</v>
      </c>
      <c r="AL1183" s="1" t="str">
        <f t="shared" si="114"/>
        <v>3. Better</v>
      </c>
    </row>
    <row r="1184" spans="1:38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f t="shared" si="109"/>
        <v>0</v>
      </c>
      <c r="AH1184" t="str">
        <f t="shared" si="110"/>
        <v>36-45</v>
      </c>
      <c r="AI1184" t="str">
        <f t="shared" si="111"/>
        <v>2. 3K-6K</v>
      </c>
      <c r="AJ1184" s="1" t="str">
        <f t="shared" si="112"/>
        <v>2. 2-5 yrs</v>
      </c>
      <c r="AK1184" s="1" t="str">
        <f t="shared" si="113"/>
        <v>3. High</v>
      </c>
      <c r="AL1184" s="1" t="str">
        <f t="shared" si="114"/>
        <v>3. Better</v>
      </c>
    </row>
    <row r="1185" spans="1:38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f t="shared" si="109"/>
        <v>0</v>
      </c>
      <c r="AH1185" t="str">
        <f t="shared" si="110"/>
        <v>36-45</v>
      </c>
      <c r="AI1185" t="str">
        <f t="shared" si="111"/>
        <v>3. 6K-10K</v>
      </c>
      <c r="AJ1185" s="1" t="str">
        <f t="shared" si="112"/>
        <v>2. 2-5 yrs</v>
      </c>
      <c r="AK1185" s="1" t="str">
        <f t="shared" si="113"/>
        <v>1. Low</v>
      </c>
      <c r="AL1185" s="1" t="str">
        <f t="shared" si="114"/>
        <v>3. Better</v>
      </c>
    </row>
    <row r="1186" spans="1:38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f t="shared" si="109"/>
        <v>0</v>
      </c>
      <c r="AH1186" t="str">
        <f t="shared" si="110"/>
        <v>46-55</v>
      </c>
      <c r="AI1186" t="str">
        <f t="shared" si="111"/>
        <v>4. 10K+</v>
      </c>
      <c r="AJ1186" s="1" t="str">
        <f t="shared" si="112"/>
        <v>3. 6-10 yrs</v>
      </c>
      <c r="AK1186" s="1" t="str">
        <f t="shared" si="113"/>
        <v>3. High</v>
      </c>
      <c r="AL1186" s="1" t="str">
        <f t="shared" si="114"/>
        <v>3. Better</v>
      </c>
    </row>
    <row r="1187" spans="1:38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f t="shared" si="109"/>
        <v>0</v>
      </c>
      <c r="AH1187" t="str">
        <f t="shared" si="110"/>
        <v>36-45</v>
      </c>
      <c r="AI1187" t="str">
        <f t="shared" si="111"/>
        <v>4. 10K+</v>
      </c>
      <c r="AJ1187" s="1" t="str">
        <f t="shared" si="112"/>
        <v>4. 10+ yrs</v>
      </c>
      <c r="AK1187" s="1" t="str">
        <f t="shared" si="113"/>
        <v>3. High</v>
      </c>
      <c r="AL1187" s="1" t="str">
        <f t="shared" si="114"/>
        <v>3. Better</v>
      </c>
    </row>
    <row r="1188" spans="1:38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f t="shared" si="109"/>
        <v>1</v>
      </c>
      <c r="AH1188" t="str">
        <f t="shared" si="110"/>
        <v>26-35</v>
      </c>
      <c r="AI1188" t="str">
        <f t="shared" si="111"/>
        <v>2. 3K-6K</v>
      </c>
      <c r="AJ1188" s="1" t="str">
        <f t="shared" si="112"/>
        <v>4. 10+ yrs</v>
      </c>
      <c r="AK1188" s="1" t="str">
        <f t="shared" si="113"/>
        <v>4. Very High</v>
      </c>
      <c r="AL1188" s="1" t="str">
        <f t="shared" si="114"/>
        <v>4. Best</v>
      </c>
    </row>
    <row r="1189" spans="1:38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f t="shared" si="109"/>
        <v>0</v>
      </c>
      <c r="AH1189" t="str">
        <f t="shared" si="110"/>
        <v>36-45</v>
      </c>
      <c r="AI1189" t="str">
        <f t="shared" si="111"/>
        <v>2. 3K-6K</v>
      </c>
      <c r="AJ1189" s="1" t="str">
        <f t="shared" si="112"/>
        <v>4. 10+ yrs</v>
      </c>
      <c r="AK1189" s="1" t="str">
        <f t="shared" si="113"/>
        <v>4. Very High</v>
      </c>
      <c r="AL1189" s="1" t="str">
        <f t="shared" si="114"/>
        <v>4. Best</v>
      </c>
    </row>
    <row r="1190" spans="1:38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f t="shared" si="109"/>
        <v>0</v>
      </c>
      <c r="AH1190" t="str">
        <f t="shared" si="110"/>
        <v>26-35</v>
      </c>
      <c r="AI1190" t="str">
        <f t="shared" si="111"/>
        <v>2. 3K-6K</v>
      </c>
      <c r="AJ1190" s="1" t="str">
        <f t="shared" si="112"/>
        <v>3. 6-10 yrs</v>
      </c>
      <c r="AK1190" s="1" t="str">
        <f t="shared" si="113"/>
        <v>2. Medium</v>
      </c>
      <c r="AL1190" s="1" t="str">
        <f t="shared" si="114"/>
        <v>2. Good</v>
      </c>
    </row>
    <row r="1191" spans="1:38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f t="shared" si="109"/>
        <v>0</v>
      </c>
      <c r="AH1191" t="str">
        <f t="shared" si="110"/>
        <v>26-35</v>
      </c>
      <c r="AI1191" t="str">
        <f t="shared" si="111"/>
        <v>2. 3K-6K</v>
      </c>
      <c r="AJ1191" s="1" t="str">
        <f t="shared" si="112"/>
        <v>3. 6-10 yrs</v>
      </c>
      <c r="AK1191" s="1" t="str">
        <f t="shared" si="113"/>
        <v>4. Very High</v>
      </c>
      <c r="AL1191" s="1" t="str">
        <f t="shared" si="114"/>
        <v>3. Better</v>
      </c>
    </row>
    <row r="1192" spans="1:38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f t="shared" si="109"/>
        <v>0</v>
      </c>
      <c r="AH1192" t="str">
        <f t="shared" si="110"/>
        <v>26-35</v>
      </c>
      <c r="AI1192" t="str">
        <f t="shared" si="111"/>
        <v>2. 3K-6K</v>
      </c>
      <c r="AJ1192" s="1" t="str">
        <f t="shared" si="112"/>
        <v>3. 6-10 yrs</v>
      </c>
      <c r="AK1192" s="1" t="str">
        <f t="shared" si="113"/>
        <v>2. Medium</v>
      </c>
      <c r="AL1192" s="1" t="str">
        <f t="shared" si="114"/>
        <v>2. Good</v>
      </c>
    </row>
    <row r="1193" spans="1:38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f t="shared" si="109"/>
        <v>0</v>
      </c>
      <c r="AH1193" t="str">
        <f t="shared" si="110"/>
        <v>26-35</v>
      </c>
      <c r="AI1193" t="str">
        <f t="shared" si="111"/>
        <v>2. 3K-6K</v>
      </c>
      <c r="AJ1193" s="1" t="str">
        <f t="shared" si="112"/>
        <v>3. 6-10 yrs</v>
      </c>
      <c r="AK1193" s="1" t="str">
        <f t="shared" si="113"/>
        <v>4. Very High</v>
      </c>
      <c r="AL1193" s="1" t="str">
        <f t="shared" si="114"/>
        <v>3. Better</v>
      </c>
    </row>
    <row r="1194" spans="1:38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f t="shared" si="109"/>
        <v>0</v>
      </c>
      <c r="AH1194" t="str">
        <f t="shared" si="110"/>
        <v>46-55</v>
      </c>
      <c r="AI1194" t="str">
        <f t="shared" si="111"/>
        <v>1. Under 3K</v>
      </c>
      <c r="AJ1194" s="1" t="str">
        <f t="shared" si="112"/>
        <v>2. 2-5 yrs</v>
      </c>
      <c r="AK1194" s="1" t="str">
        <f t="shared" si="113"/>
        <v>1. Low</v>
      </c>
      <c r="AL1194" s="1" t="str">
        <f t="shared" si="114"/>
        <v>2. Good</v>
      </c>
    </row>
    <row r="1195" spans="1:38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f t="shared" si="109"/>
        <v>0</v>
      </c>
      <c r="AH1195" t="str">
        <f t="shared" si="110"/>
        <v>36-45</v>
      </c>
      <c r="AI1195" t="str">
        <f t="shared" si="111"/>
        <v>1. Under 3K</v>
      </c>
      <c r="AJ1195" s="1" t="str">
        <f t="shared" si="112"/>
        <v>2. 2-5 yrs</v>
      </c>
      <c r="AK1195" s="1" t="str">
        <f t="shared" si="113"/>
        <v>2. Medium</v>
      </c>
      <c r="AL1195" s="1" t="str">
        <f t="shared" si="114"/>
        <v>3. Better</v>
      </c>
    </row>
    <row r="1196" spans="1:38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f t="shared" si="109"/>
        <v>0</v>
      </c>
      <c r="AH1196" t="str">
        <f t="shared" si="110"/>
        <v>46-55</v>
      </c>
      <c r="AI1196" t="str">
        <f t="shared" si="111"/>
        <v>4. 10K+</v>
      </c>
      <c r="AJ1196" s="1" t="str">
        <f t="shared" si="112"/>
        <v>2. 2-5 yrs</v>
      </c>
      <c r="AK1196" s="1" t="str">
        <f t="shared" si="113"/>
        <v>2. Medium</v>
      </c>
      <c r="AL1196" s="1" t="str">
        <f t="shared" si="114"/>
        <v>3. Better</v>
      </c>
    </row>
    <row r="1197" spans="1:38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f t="shared" si="109"/>
        <v>0</v>
      </c>
      <c r="AH1197" t="str">
        <f t="shared" si="110"/>
        <v>46-55</v>
      </c>
      <c r="AI1197" t="str">
        <f t="shared" si="111"/>
        <v>4. 10K+</v>
      </c>
      <c r="AJ1197" s="1" t="str">
        <f t="shared" si="112"/>
        <v>3. 6-10 yrs</v>
      </c>
      <c r="AK1197" s="1" t="str">
        <f t="shared" si="113"/>
        <v>3. High</v>
      </c>
      <c r="AL1197" s="1" t="str">
        <f t="shared" si="114"/>
        <v>3. Better</v>
      </c>
    </row>
    <row r="1198" spans="1:38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f t="shared" si="109"/>
        <v>0</v>
      </c>
      <c r="AH1198" t="str">
        <f t="shared" si="110"/>
        <v>36-45</v>
      </c>
      <c r="AI1198" t="str">
        <f t="shared" si="111"/>
        <v>3. 6K-10K</v>
      </c>
      <c r="AJ1198" s="1" t="str">
        <f t="shared" si="112"/>
        <v>2. 2-5 yrs</v>
      </c>
      <c r="AK1198" s="1" t="str">
        <f t="shared" si="113"/>
        <v>3. High</v>
      </c>
      <c r="AL1198" s="1" t="str">
        <f t="shared" si="114"/>
        <v>3. Better</v>
      </c>
    </row>
    <row r="1199" spans="1:38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f t="shared" si="109"/>
        <v>0</v>
      </c>
      <c r="AH1199" t="str">
        <f t="shared" si="110"/>
        <v>18-25</v>
      </c>
      <c r="AI1199" t="str">
        <f t="shared" si="111"/>
        <v>1. Under 3K</v>
      </c>
      <c r="AJ1199" s="1" t="str">
        <f t="shared" si="112"/>
        <v>2. 2-5 yrs</v>
      </c>
      <c r="AK1199" s="1" t="str">
        <f t="shared" si="113"/>
        <v>1. Low</v>
      </c>
      <c r="AL1199" s="1" t="str">
        <f t="shared" si="114"/>
        <v>3. Better</v>
      </c>
    </row>
    <row r="1200" spans="1:38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f t="shared" si="109"/>
        <v>0</v>
      </c>
      <c r="AH1200" t="str">
        <f t="shared" si="110"/>
        <v>26-35</v>
      </c>
      <c r="AI1200" t="str">
        <f t="shared" si="111"/>
        <v>2. 3K-6K</v>
      </c>
      <c r="AJ1200" s="1" t="str">
        <f t="shared" si="112"/>
        <v>3. 6-10 yrs</v>
      </c>
      <c r="AK1200" s="1" t="str">
        <f t="shared" si="113"/>
        <v>4. Very High</v>
      </c>
      <c r="AL1200" s="1" t="str">
        <f t="shared" si="114"/>
        <v>3. Better</v>
      </c>
    </row>
    <row r="1201" spans="1:38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f t="shared" si="109"/>
        <v>0</v>
      </c>
      <c r="AH1201" t="str">
        <f t="shared" si="110"/>
        <v>36-45</v>
      </c>
      <c r="AI1201" t="str">
        <f t="shared" si="111"/>
        <v>2. 3K-6K</v>
      </c>
      <c r="AJ1201" s="1" t="str">
        <f t="shared" si="112"/>
        <v>2. 2-5 yrs</v>
      </c>
      <c r="AK1201" s="1" t="str">
        <f t="shared" si="113"/>
        <v>3. High</v>
      </c>
      <c r="AL1201" s="1" t="str">
        <f t="shared" si="114"/>
        <v>2. Good</v>
      </c>
    </row>
    <row r="1202" spans="1:38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f t="shared" si="109"/>
        <v>0</v>
      </c>
      <c r="AH1202" t="str">
        <f t="shared" si="110"/>
        <v>36-45</v>
      </c>
      <c r="AI1202" t="str">
        <f t="shared" si="111"/>
        <v>2. 3K-6K</v>
      </c>
      <c r="AJ1202" s="1" t="str">
        <f t="shared" si="112"/>
        <v>2. 2-5 yrs</v>
      </c>
      <c r="AK1202" s="1" t="str">
        <f t="shared" si="113"/>
        <v>4. Very High</v>
      </c>
      <c r="AL1202" s="1" t="str">
        <f t="shared" si="114"/>
        <v>3. Better</v>
      </c>
    </row>
    <row r="1203" spans="1:38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f t="shared" si="109"/>
        <v>1</v>
      </c>
      <c r="AH1203" t="str">
        <f t="shared" si="110"/>
        <v>18-25</v>
      </c>
      <c r="AI1203" t="str">
        <f t="shared" si="111"/>
        <v>2. 3K-6K</v>
      </c>
      <c r="AJ1203" s="1" t="str">
        <f t="shared" si="112"/>
        <v>2. 2-5 yrs</v>
      </c>
      <c r="AK1203" s="1" t="str">
        <f t="shared" si="113"/>
        <v>3. High</v>
      </c>
      <c r="AL1203" s="1" t="str">
        <f t="shared" si="114"/>
        <v>3. Better</v>
      </c>
    </row>
    <row r="1204" spans="1:38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f t="shared" si="109"/>
        <v>0</v>
      </c>
      <c r="AH1204" t="str">
        <f t="shared" si="110"/>
        <v>36-45</v>
      </c>
      <c r="AI1204" t="str">
        <f t="shared" si="111"/>
        <v>2. 3K-6K</v>
      </c>
      <c r="AJ1204" s="1" t="str">
        <f t="shared" si="112"/>
        <v>1. 0-1 yrs</v>
      </c>
      <c r="AK1204" s="1" t="str">
        <f t="shared" si="113"/>
        <v>3. High</v>
      </c>
      <c r="AL1204" s="1" t="str">
        <f t="shared" si="114"/>
        <v>2. Good</v>
      </c>
    </row>
    <row r="1205" spans="1:38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f t="shared" si="109"/>
        <v>0</v>
      </c>
      <c r="AH1205" t="str">
        <f t="shared" si="110"/>
        <v>46-55</v>
      </c>
      <c r="AI1205" t="str">
        <f t="shared" si="111"/>
        <v>3. 6K-10K</v>
      </c>
      <c r="AJ1205" s="1" t="str">
        <f t="shared" si="112"/>
        <v>2. 2-5 yrs</v>
      </c>
      <c r="AK1205" s="1" t="str">
        <f t="shared" si="113"/>
        <v>4. Very High</v>
      </c>
      <c r="AL1205" s="1" t="str">
        <f t="shared" si="114"/>
        <v>3. Better</v>
      </c>
    </row>
    <row r="1206" spans="1:38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f t="shared" si="109"/>
        <v>1</v>
      </c>
      <c r="AH1206" t="str">
        <f t="shared" si="110"/>
        <v>46-55</v>
      </c>
      <c r="AI1206" t="str">
        <f t="shared" si="111"/>
        <v>1. Under 3K</v>
      </c>
      <c r="AJ1206" s="1" t="str">
        <f t="shared" si="112"/>
        <v>3. 6-10 yrs</v>
      </c>
      <c r="AK1206" s="1" t="str">
        <f t="shared" si="113"/>
        <v>3. High</v>
      </c>
      <c r="AL1206" s="1" t="str">
        <f t="shared" si="114"/>
        <v>3. Better</v>
      </c>
    </row>
    <row r="1207" spans="1:38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f t="shared" si="109"/>
        <v>1</v>
      </c>
      <c r="AH1207" t="str">
        <f t="shared" si="110"/>
        <v>26-35</v>
      </c>
      <c r="AI1207" t="str">
        <f t="shared" si="111"/>
        <v>1. Under 3K</v>
      </c>
      <c r="AJ1207" s="1" t="str">
        <f t="shared" si="112"/>
        <v>1. 0-1 yrs</v>
      </c>
      <c r="AK1207" s="1" t="str">
        <f t="shared" si="113"/>
        <v>2. Medium</v>
      </c>
      <c r="AL1207" s="1" t="str">
        <f t="shared" si="114"/>
        <v>3. Better</v>
      </c>
    </row>
    <row r="1208" spans="1:38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f t="shared" si="109"/>
        <v>0</v>
      </c>
      <c r="AH1208" t="str">
        <f t="shared" si="110"/>
        <v>26-35</v>
      </c>
      <c r="AI1208" t="str">
        <f t="shared" si="111"/>
        <v>1. Under 3K</v>
      </c>
      <c r="AJ1208" s="1" t="str">
        <f t="shared" si="112"/>
        <v>3. 6-10 yrs</v>
      </c>
      <c r="AK1208" s="1" t="str">
        <f t="shared" si="113"/>
        <v>4. Very High</v>
      </c>
      <c r="AL1208" s="1" t="str">
        <f t="shared" si="114"/>
        <v>3. Better</v>
      </c>
    </row>
    <row r="1209" spans="1:38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f t="shared" si="109"/>
        <v>0</v>
      </c>
      <c r="AH1209" t="str">
        <f t="shared" si="110"/>
        <v>46-55</v>
      </c>
      <c r="AI1209" t="str">
        <f t="shared" si="111"/>
        <v>2. 3K-6K</v>
      </c>
      <c r="AJ1209" s="1" t="str">
        <f t="shared" si="112"/>
        <v>2. 2-5 yrs</v>
      </c>
      <c r="AK1209" s="1" t="str">
        <f t="shared" si="113"/>
        <v>2. Medium</v>
      </c>
      <c r="AL1209" s="1" t="str">
        <f t="shared" si="114"/>
        <v>3. Better</v>
      </c>
    </row>
    <row r="1210" spans="1:38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f t="shared" si="109"/>
        <v>0</v>
      </c>
      <c r="AH1210" t="str">
        <f t="shared" si="110"/>
        <v>26-35</v>
      </c>
      <c r="AI1210" t="str">
        <f t="shared" si="111"/>
        <v>2. 3K-6K</v>
      </c>
      <c r="AJ1210" s="1" t="str">
        <f t="shared" si="112"/>
        <v>4. 10+ yrs</v>
      </c>
      <c r="AK1210" s="1" t="str">
        <f t="shared" si="113"/>
        <v>4. Very High</v>
      </c>
      <c r="AL1210" s="1" t="str">
        <f t="shared" si="114"/>
        <v>4. Best</v>
      </c>
    </row>
    <row r="1211" spans="1:38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f t="shared" si="109"/>
        <v>0</v>
      </c>
      <c r="AH1211" t="str">
        <f t="shared" si="110"/>
        <v>56+</v>
      </c>
      <c r="AI1211" t="str">
        <f t="shared" si="111"/>
        <v>4. 10K+</v>
      </c>
      <c r="AJ1211" s="1" t="str">
        <f t="shared" si="112"/>
        <v>1. 0-1 yrs</v>
      </c>
      <c r="AK1211" s="1" t="str">
        <f t="shared" si="113"/>
        <v>4. Very High</v>
      </c>
      <c r="AL1211" s="1" t="str">
        <f t="shared" si="114"/>
        <v>4. Best</v>
      </c>
    </row>
    <row r="1212" spans="1:38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f t="shared" si="109"/>
        <v>0</v>
      </c>
      <c r="AH1212" t="str">
        <f t="shared" si="110"/>
        <v>26-35</v>
      </c>
      <c r="AI1212" t="str">
        <f t="shared" si="111"/>
        <v>1. Under 3K</v>
      </c>
      <c r="AJ1212" s="1" t="str">
        <f t="shared" si="112"/>
        <v>4. 10+ yrs</v>
      </c>
      <c r="AK1212" s="1" t="str">
        <f t="shared" si="113"/>
        <v>2. Medium</v>
      </c>
      <c r="AL1212" s="1" t="str">
        <f t="shared" si="114"/>
        <v>3. Better</v>
      </c>
    </row>
    <row r="1213" spans="1:38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f t="shared" si="109"/>
        <v>0</v>
      </c>
      <c r="AH1213" t="str">
        <f t="shared" si="110"/>
        <v>36-45</v>
      </c>
      <c r="AI1213" t="str">
        <f t="shared" si="111"/>
        <v>3. 6K-10K</v>
      </c>
      <c r="AJ1213" s="1" t="str">
        <f t="shared" si="112"/>
        <v>3. 6-10 yrs</v>
      </c>
      <c r="AK1213" s="1" t="str">
        <f t="shared" si="113"/>
        <v>4. Very High</v>
      </c>
      <c r="AL1213" s="1" t="str">
        <f t="shared" si="114"/>
        <v>2. Good</v>
      </c>
    </row>
    <row r="1214" spans="1:38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f t="shared" si="109"/>
        <v>0</v>
      </c>
      <c r="AH1214" t="str">
        <f t="shared" si="110"/>
        <v>26-35</v>
      </c>
      <c r="AI1214" t="str">
        <f t="shared" si="111"/>
        <v>1. Under 3K</v>
      </c>
      <c r="AJ1214" s="1" t="str">
        <f t="shared" si="112"/>
        <v>3. 6-10 yrs</v>
      </c>
      <c r="AK1214" s="1" t="str">
        <f t="shared" si="113"/>
        <v>4. Very High</v>
      </c>
      <c r="AL1214" s="1" t="str">
        <f t="shared" si="114"/>
        <v>3. Better</v>
      </c>
    </row>
    <row r="1215" spans="1:38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f t="shared" si="109"/>
        <v>1</v>
      </c>
      <c r="AH1215" t="str">
        <f t="shared" si="110"/>
        <v>18-25</v>
      </c>
      <c r="AI1215" t="str">
        <f t="shared" si="111"/>
        <v>1. Under 3K</v>
      </c>
      <c r="AJ1215" s="1" t="str">
        <f t="shared" si="112"/>
        <v>2. 2-5 yrs</v>
      </c>
      <c r="AK1215" s="1" t="str">
        <f t="shared" si="113"/>
        <v>4. Very High</v>
      </c>
      <c r="AL1215" s="1" t="str">
        <f t="shared" si="114"/>
        <v>3. Better</v>
      </c>
    </row>
    <row r="1216" spans="1:38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f t="shared" si="109"/>
        <v>0</v>
      </c>
      <c r="AH1216" t="str">
        <f t="shared" si="110"/>
        <v>36-45</v>
      </c>
      <c r="AI1216" t="str">
        <f t="shared" si="111"/>
        <v>3. 6K-10K</v>
      </c>
      <c r="AJ1216" s="1" t="str">
        <f t="shared" si="112"/>
        <v>3. 6-10 yrs</v>
      </c>
      <c r="AK1216" s="1" t="str">
        <f t="shared" si="113"/>
        <v>4. Very High</v>
      </c>
      <c r="AL1216" s="1" t="str">
        <f t="shared" si="114"/>
        <v>3. Better</v>
      </c>
    </row>
    <row r="1217" spans="1:38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f t="shared" si="109"/>
        <v>0</v>
      </c>
      <c r="AH1217" t="str">
        <f t="shared" si="110"/>
        <v>26-35</v>
      </c>
      <c r="AI1217" t="str">
        <f t="shared" si="111"/>
        <v>2. 3K-6K</v>
      </c>
      <c r="AJ1217" s="1" t="str">
        <f t="shared" si="112"/>
        <v>2. 2-5 yrs</v>
      </c>
      <c r="AK1217" s="1" t="str">
        <f t="shared" si="113"/>
        <v>4. Very High</v>
      </c>
      <c r="AL1217" s="1" t="str">
        <f t="shared" si="114"/>
        <v>4. Best</v>
      </c>
    </row>
    <row r="1218" spans="1:38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f t="shared" ref="AG1218:AG1281" si="115">IF(B1218="Yes",1,0)</f>
        <v>0</v>
      </c>
      <c r="AH1218" t="str">
        <f t="shared" ref="AH1218:AH1281" si="116">IF(A1218&lt;26,"18-25",IF(A1218&lt;36,"26-35",IF(A1218&lt;46,"36-45",IF(A1218&lt;56,"46-55","56+"))))</f>
        <v>36-45</v>
      </c>
      <c r="AI1218" t="str">
        <f t="shared" ref="AI1218:AI1281" si="117">IF(R1218&lt;3000,"1. Under 3K",IF(R1218&lt;6000,"2. 3K-6K",IF(R1218&lt;10000,"3. 6K-10K","4. 10K+")))</f>
        <v>3. 6K-10K</v>
      </c>
      <c r="AJ1218" s="1" t="str">
        <f t="shared" ref="AJ1218:AJ1281" si="118">IF(AC1218&lt;2,"1. 0-1 yrs",IF(AC1218&lt;6,"2. 2-5 yrs",IF(AC1218&lt;11,"3. 6-10 yrs","4. 10+ yrs")))</f>
        <v>3. 6-10 yrs</v>
      </c>
      <c r="AK1218" s="1" t="str">
        <f t="shared" ref="AK1218:AK1281" si="119">CHOOSE(P1218,"1. Low","2. Medium","3. High","4. Very High")</f>
        <v>4. Very High</v>
      </c>
      <c r="AL1218" s="1" t="str">
        <f t="shared" ref="AL1218:AL1281" si="120">CHOOSE(AB1218,"1. Bad","2. Good","3. Better","4. Best")</f>
        <v>3. Better</v>
      </c>
    </row>
    <row r="1219" spans="1:38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f t="shared" si="115"/>
        <v>0</v>
      </c>
      <c r="AH1219" t="str">
        <f t="shared" si="116"/>
        <v>18-25</v>
      </c>
      <c r="AI1219" t="str">
        <f t="shared" si="117"/>
        <v>2. 3K-6K</v>
      </c>
      <c r="AJ1219" s="1" t="str">
        <f t="shared" si="118"/>
        <v>2. 2-5 yrs</v>
      </c>
      <c r="AK1219" s="1" t="str">
        <f t="shared" si="119"/>
        <v>3. High</v>
      </c>
      <c r="AL1219" s="1" t="str">
        <f t="shared" si="120"/>
        <v>3. Better</v>
      </c>
    </row>
    <row r="1220" spans="1:38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f t="shared" si="115"/>
        <v>0</v>
      </c>
      <c r="AH1220" t="str">
        <f t="shared" si="116"/>
        <v>36-45</v>
      </c>
      <c r="AI1220" t="str">
        <f t="shared" si="117"/>
        <v>3. 6K-10K</v>
      </c>
      <c r="AJ1220" s="1" t="str">
        <f t="shared" si="118"/>
        <v>3. 6-10 yrs</v>
      </c>
      <c r="AK1220" s="1" t="str">
        <f t="shared" si="119"/>
        <v>3. High</v>
      </c>
      <c r="AL1220" s="1" t="str">
        <f t="shared" si="120"/>
        <v>3. Better</v>
      </c>
    </row>
    <row r="1221" spans="1:38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f t="shared" si="115"/>
        <v>0</v>
      </c>
      <c r="AH1221" t="str">
        <f t="shared" si="116"/>
        <v>26-35</v>
      </c>
      <c r="AI1221" t="str">
        <f t="shared" si="117"/>
        <v>1. Under 3K</v>
      </c>
      <c r="AJ1221" s="1" t="str">
        <f t="shared" si="118"/>
        <v>2. 2-5 yrs</v>
      </c>
      <c r="AK1221" s="1" t="str">
        <f t="shared" si="119"/>
        <v>3. High</v>
      </c>
      <c r="AL1221" s="1" t="str">
        <f t="shared" si="120"/>
        <v>3. Better</v>
      </c>
    </row>
    <row r="1222" spans="1:38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f t="shared" si="115"/>
        <v>0</v>
      </c>
      <c r="AH1222" t="str">
        <f t="shared" si="116"/>
        <v>36-45</v>
      </c>
      <c r="AI1222" t="str">
        <f t="shared" si="117"/>
        <v>2. 3K-6K</v>
      </c>
      <c r="AJ1222" s="1" t="str">
        <f t="shared" si="118"/>
        <v>4. 10+ yrs</v>
      </c>
      <c r="AK1222" s="1" t="str">
        <f t="shared" si="119"/>
        <v>4. Very High</v>
      </c>
      <c r="AL1222" s="1" t="str">
        <f t="shared" si="120"/>
        <v>2. Good</v>
      </c>
    </row>
    <row r="1223" spans="1:38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f t="shared" si="115"/>
        <v>0</v>
      </c>
      <c r="AH1223" t="str">
        <f t="shared" si="116"/>
        <v>36-45</v>
      </c>
      <c r="AI1223" t="str">
        <f t="shared" si="117"/>
        <v>4. 10K+</v>
      </c>
      <c r="AJ1223" s="1" t="str">
        <f t="shared" si="118"/>
        <v>4. 10+ yrs</v>
      </c>
      <c r="AK1223" s="1" t="str">
        <f t="shared" si="119"/>
        <v>3. High</v>
      </c>
      <c r="AL1223" s="1" t="str">
        <f t="shared" si="120"/>
        <v>2. Good</v>
      </c>
    </row>
    <row r="1224" spans="1:38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f t="shared" si="115"/>
        <v>1</v>
      </c>
      <c r="AH1224" t="str">
        <f t="shared" si="116"/>
        <v>18-25</v>
      </c>
      <c r="AI1224" t="str">
        <f t="shared" si="117"/>
        <v>1. Under 3K</v>
      </c>
      <c r="AJ1224" s="1" t="str">
        <f t="shared" si="118"/>
        <v>1. 0-1 yrs</v>
      </c>
      <c r="AK1224" s="1" t="str">
        <f t="shared" si="119"/>
        <v>3. High</v>
      </c>
      <c r="AL1224" s="1" t="str">
        <f t="shared" si="120"/>
        <v>3. Better</v>
      </c>
    </row>
    <row r="1225" spans="1:38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f t="shared" si="115"/>
        <v>1</v>
      </c>
      <c r="AH1225" t="str">
        <f t="shared" si="116"/>
        <v>46-55</v>
      </c>
      <c r="AI1225" t="str">
        <f t="shared" si="117"/>
        <v>4. 10K+</v>
      </c>
      <c r="AJ1225" s="1" t="str">
        <f t="shared" si="118"/>
        <v>4. 10+ yrs</v>
      </c>
      <c r="AK1225" s="1" t="str">
        <f t="shared" si="119"/>
        <v>3. High</v>
      </c>
      <c r="AL1225" s="1" t="str">
        <f t="shared" si="120"/>
        <v>1. Bad</v>
      </c>
    </row>
    <row r="1226" spans="1:38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f t="shared" si="115"/>
        <v>0</v>
      </c>
      <c r="AH1226" t="str">
        <f t="shared" si="116"/>
        <v>26-35</v>
      </c>
      <c r="AI1226" t="str">
        <f t="shared" si="117"/>
        <v>1. Under 3K</v>
      </c>
      <c r="AJ1226" s="1" t="str">
        <f t="shared" si="118"/>
        <v>2. 2-5 yrs</v>
      </c>
      <c r="AK1226" s="1" t="str">
        <f t="shared" si="119"/>
        <v>3. High</v>
      </c>
      <c r="AL1226" s="1" t="str">
        <f t="shared" si="120"/>
        <v>4. Best</v>
      </c>
    </row>
    <row r="1227" spans="1:38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f t="shared" si="115"/>
        <v>0</v>
      </c>
      <c r="AH1227" t="str">
        <f t="shared" si="116"/>
        <v>36-45</v>
      </c>
      <c r="AI1227" t="str">
        <f t="shared" si="117"/>
        <v>4. 10K+</v>
      </c>
      <c r="AJ1227" s="1" t="str">
        <f t="shared" si="118"/>
        <v>4. 10+ yrs</v>
      </c>
      <c r="AK1227" s="1" t="str">
        <f t="shared" si="119"/>
        <v>2. Medium</v>
      </c>
      <c r="AL1227" s="1" t="str">
        <f t="shared" si="120"/>
        <v>3. Better</v>
      </c>
    </row>
    <row r="1228" spans="1:38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f t="shared" si="115"/>
        <v>0</v>
      </c>
      <c r="AH1228" t="str">
        <f t="shared" si="116"/>
        <v>26-35</v>
      </c>
      <c r="AI1228" t="str">
        <f t="shared" si="117"/>
        <v>2. 3K-6K</v>
      </c>
      <c r="AJ1228" s="1" t="str">
        <f t="shared" si="118"/>
        <v>2. 2-5 yrs</v>
      </c>
      <c r="AK1228" s="1" t="str">
        <f t="shared" si="119"/>
        <v>3. High</v>
      </c>
      <c r="AL1228" s="1" t="str">
        <f t="shared" si="120"/>
        <v>2. Good</v>
      </c>
    </row>
    <row r="1229" spans="1:38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f t="shared" si="115"/>
        <v>0</v>
      </c>
      <c r="AH1229" t="str">
        <f t="shared" si="116"/>
        <v>26-35</v>
      </c>
      <c r="AI1229" t="str">
        <f t="shared" si="117"/>
        <v>2. 3K-6K</v>
      </c>
      <c r="AJ1229" s="1" t="str">
        <f t="shared" si="118"/>
        <v>2. 2-5 yrs</v>
      </c>
      <c r="AK1229" s="1" t="str">
        <f t="shared" si="119"/>
        <v>3. High</v>
      </c>
      <c r="AL1229" s="1" t="str">
        <f t="shared" si="120"/>
        <v>4. Best</v>
      </c>
    </row>
    <row r="1230" spans="1:38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f t="shared" si="115"/>
        <v>0</v>
      </c>
      <c r="AH1230" t="str">
        <f t="shared" si="116"/>
        <v>36-45</v>
      </c>
      <c r="AI1230" t="str">
        <f t="shared" si="117"/>
        <v>3. 6K-10K</v>
      </c>
      <c r="AJ1230" s="1" t="str">
        <f t="shared" si="118"/>
        <v>2. 2-5 yrs</v>
      </c>
      <c r="AK1230" s="1" t="str">
        <f t="shared" si="119"/>
        <v>2. Medium</v>
      </c>
      <c r="AL1230" s="1" t="str">
        <f t="shared" si="120"/>
        <v>3. Better</v>
      </c>
    </row>
    <row r="1231" spans="1:38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f t="shared" si="115"/>
        <v>0</v>
      </c>
      <c r="AH1231" t="str">
        <f t="shared" si="116"/>
        <v>36-45</v>
      </c>
      <c r="AI1231" t="str">
        <f t="shared" si="117"/>
        <v>3. 6K-10K</v>
      </c>
      <c r="AJ1231" s="1" t="str">
        <f t="shared" si="118"/>
        <v>1. 0-1 yrs</v>
      </c>
      <c r="AK1231" s="1" t="str">
        <f t="shared" si="119"/>
        <v>1. Low</v>
      </c>
      <c r="AL1231" s="1" t="str">
        <f t="shared" si="120"/>
        <v>3. Better</v>
      </c>
    </row>
    <row r="1232" spans="1:38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f t="shared" si="115"/>
        <v>0</v>
      </c>
      <c r="AH1232" t="str">
        <f t="shared" si="116"/>
        <v>18-25</v>
      </c>
      <c r="AI1232" t="str">
        <f t="shared" si="117"/>
        <v>2. 3K-6K</v>
      </c>
      <c r="AJ1232" s="1" t="str">
        <f t="shared" si="118"/>
        <v>3. 6-10 yrs</v>
      </c>
      <c r="AK1232" s="1" t="str">
        <f t="shared" si="119"/>
        <v>1. Low</v>
      </c>
      <c r="AL1232" s="1" t="str">
        <f t="shared" si="120"/>
        <v>4. Best</v>
      </c>
    </row>
    <row r="1233" spans="1:38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f t="shared" si="115"/>
        <v>0</v>
      </c>
      <c r="AH1233" t="str">
        <f t="shared" si="116"/>
        <v>46-55</v>
      </c>
      <c r="AI1233" t="str">
        <f t="shared" si="117"/>
        <v>2. 3K-6K</v>
      </c>
      <c r="AJ1233" s="1" t="str">
        <f t="shared" si="118"/>
        <v>3. 6-10 yrs</v>
      </c>
      <c r="AK1233" s="1" t="str">
        <f t="shared" si="119"/>
        <v>2. Medium</v>
      </c>
      <c r="AL1233" s="1" t="str">
        <f t="shared" si="120"/>
        <v>3. Better</v>
      </c>
    </row>
    <row r="1234" spans="1:38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f t="shared" si="115"/>
        <v>0</v>
      </c>
      <c r="AH1234" t="str">
        <f t="shared" si="116"/>
        <v>26-35</v>
      </c>
      <c r="AI1234" t="str">
        <f t="shared" si="117"/>
        <v>3. 6K-10K</v>
      </c>
      <c r="AJ1234" s="1" t="str">
        <f t="shared" si="118"/>
        <v>3. 6-10 yrs</v>
      </c>
      <c r="AK1234" s="1" t="str">
        <f t="shared" si="119"/>
        <v>3. High</v>
      </c>
      <c r="AL1234" s="1" t="str">
        <f t="shared" si="120"/>
        <v>3. Better</v>
      </c>
    </row>
    <row r="1235" spans="1:38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f t="shared" si="115"/>
        <v>0</v>
      </c>
      <c r="AH1235" t="str">
        <f t="shared" si="116"/>
        <v>26-35</v>
      </c>
      <c r="AI1235" t="str">
        <f t="shared" si="117"/>
        <v>1. Under 3K</v>
      </c>
      <c r="AJ1235" s="1" t="str">
        <f t="shared" si="118"/>
        <v>3. 6-10 yrs</v>
      </c>
      <c r="AK1235" s="1" t="str">
        <f t="shared" si="119"/>
        <v>4. Very High</v>
      </c>
      <c r="AL1235" s="1" t="str">
        <f t="shared" si="120"/>
        <v>2. Good</v>
      </c>
    </row>
    <row r="1236" spans="1:38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f t="shared" si="115"/>
        <v>0</v>
      </c>
      <c r="AH1236" t="str">
        <f t="shared" si="116"/>
        <v>46-55</v>
      </c>
      <c r="AI1236" t="str">
        <f t="shared" si="117"/>
        <v>2. 3K-6K</v>
      </c>
      <c r="AJ1236" s="1" t="str">
        <f t="shared" si="118"/>
        <v>1. 0-1 yrs</v>
      </c>
      <c r="AK1236" s="1" t="str">
        <f t="shared" si="119"/>
        <v>2. Medium</v>
      </c>
      <c r="AL1236" s="1" t="str">
        <f t="shared" si="120"/>
        <v>1. Bad</v>
      </c>
    </row>
    <row r="1237" spans="1:38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f t="shared" si="115"/>
        <v>0</v>
      </c>
      <c r="AH1237" t="str">
        <f t="shared" si="116"/>
        <v>46-55</v>
      </c>
      <c r="AI1237" t="str">
        <f t="shared" si="117"/>
        <v>4. 10K+</v>
      </c>
      <c r="AJ1237" s="1" t="str">
        <f t="shared" si="118"/>
        <v>3. 6-10 yrs</v>
      </c>
      <c r="AK1237" s="1" t="str">
        <f t="shared" si="119"/>
        <v>4. Very High</v>
      </c>
      <c r="AL1237" s="1" t="str">
        <f t="shared" si="120"/>
        <v>2. Good</v>
      </c>
    </row>
    <row r="1238" spans="1:38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f t="shared" si="115"/>
        <v>1</v>
      </c>
      <c r="AH1238" t="str">
        <f t="shared" si="116"/>
        <v>36-45</v>
      </c>
      <c r="AI1238" t="str">
        <f t="shared" si="117"/>
        <v>3. 6K-10K</v>
      </c>
      <c r="AJ1238" s="1" t="str">
        <f t="shared" si="118"/>
        <v>2. 2-5 yrs</v>
      </c>
      <c r="AK1238" s="1" t="str">
        <f t="shared" si="119"/>
        <v>1. Low</v>
      </c>
      <c r="AL1238" s="1" t="str">
        <f t="shared" si="120"/>
        <v>3. Better</v>
      </c>
    </row>
    <row r="1239" spans="1:38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f t="shared" si="115"/>
        <v>1</v>
      </c>
      <c r="AH1239" t="str">
        <f t="shared" si="116"/>
        <v>26-35</v>
      </c>
      <c r="AI1239" t="str">
        <f t="shared" si="117"/>
        <v>3. 6K-10K</v>
      </c>
      <c r="AJ1239" s="1" t="str">
        <f t="shared" si="118"/>
        <v>1. 0-1 yrs</v>
      </c>
      <c r="AK1239" s="1" t="str">
        <f t="shared" si="119"/>
        <v>2. Medium</v>
      </c>
      <c r="AL1239" s="1" t="str">
        <f t="shared" si="120"/>
        <v>3. Better</v>
      </c>
    </row>
    <row r="1240" spans="1:38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f t="shared" si="115"/>
        <v>0</v>
      </c>
      <c r="AH1240" t="str">
        <f t="shared" si="116"/>
        <v>18-25</v>
      </c>
      <c r="AI1240" t="str">
        <f t="shared" si="117"/>
        <v>2. 3K-6K</v>
      </c>
      <c r="AJ1240" s="1" t="str">
        <f t="shared" si="118"/>
        <v>2. 2-5 yrs</v>
      </c>
      <c r="AK1240" s="1" t="str">
        <f t="shared" si="119"/>
        <v>2. Medium</v>
      </c>
      <c r="AL1240" s="1" t="str">
        <f t="shared" si="120"/>
        <v>1. Bad</v>
      </c>
    </row>
    <row r="1241" spans="1:38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f t="shared" si="115"/>
        <v>0</v>
      </c>
      <c r="AH1241" t="str">
        <f t="shared" si="116"/>
        <v>26-35</v>
      </c>
      <c r="AI1241" t="str">
        <f t="shared" si="117"/>
        <v>2. 3K-6K</v>
      </c>
      <c r="AJ1241" s="1" t="str">
        <f t="shared" si="118"/>
        <v>2. 2-5 yrs</v>
      </c>
      <c r="AK1241" s="1" t="str">
        <f t="shared" si="119"/>
        <v>4. Very High</v>
      </c>
      <c r="AL1241" s="1" t="str">
        <f t="shared" si="120"/>
        <v>2. Good</v>
      </c>
    </row>
    <row r="1242" spans="1:38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f t="shared" si="115"/>
        <v>0</v>
      </c>
      <c r="AH1242" t="str">
        <f t="shared" si="116"/>
        <v>36-45</v>
      </c>
      <c r="AI1242" t="str">
        <f t="shared" si="117"/>
        <v>3. 6K-10K</v>
      </c>
      <c r="AJ1242" s="1" t="str">
        <f t="shared" si="118"/>
        <v>3. 6-10 yrs</v>
      </c>
      <c r="AK1242" s="1" t="str">
        <f t="shared" si="119"/>
        <v>4. Very High</v>
      </c>
      <c r="AL1242" s="1" t="str">
        <f t="shared" si="120"/>
        <v>3. Better</v>
      </c>
    </row>
    <row r="1243" spans="1:38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f t="shared" si="115"/>
        <v>0</v>
      </c>
      <c r="AH1243" t="str">
        <f t="shared" si="116"/>
        <v>26-35</v>
      </c>
      <c r="AI1243" t="str">
        <f t="shared" si="117"/>
        <v>3. 6K-10K</v>
      </c>
      <c r="AJ1243" s="1" t="str">
        <f t="shared" si="118"/>
        <v>2. 2-5 yrs</v>
      </c>
      <c r="AK1243" s="1" t="str">
        <f t="shared" si="119"/>
        <v>3. High</v>
      </c>
      <c r="AL1243" s="1" t="str">
        <f t="shared" si="120"/>
        <v>1. Bad</v>
      </c>
    </row>
    <row r="1244" spans="1:38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f t="shared" si="115"/>
        <v>0</v>
      </c>
      <c r="AH1244" t="str">
        <f t="shared" si="116"/>
        <v>36-45</v>
      </c>
      <c r="AI1244" t="str">
        <f t="shared" si="117"/>
        <v>4. 10K+</v>
      </c>
      <c r="AJ1244" s="1" t="str">
        <f t="shared" si="118"/>
        <v>4. 10+ yrs</v>
      </c>
      <c r="AK1244" s="1" t="str">
        <f t="shared" si="119"/>
        <v>2. Medium</v>
      </c>
      <c r="AL1244" s="1" t="str">
        <f t="shared" si="120"/>
        <v>2. Good</v>
      </c>
    </row>
    <row r="1245" spans="1:38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f t="shared" si="115"/>
        <v>0</v>
      </c>
      <c r="AH1245" t="str">
        <f t="shared" si="116"/>
        <v>36-45</v>
      </c>
      <c r="AI1245" t="str">
        <f t="shared" si="117"/>
        <v>3. 6K-10K</v>
      </c>
      <c r="AJ1245" s="1" t="str">
        <f t="shared" si="118"/>
        <v>2. 2-5 yrs</v>
      </c>
      <c r="AK1245" s="1" t="str">
        <f t="shared" si="119"/>
        <v>3. High</v>
      </c>
      <c r="AL1245" s="1" t="str">
        <f t="shared" si="120"/>
        <v>4. Best</v>
      </c>
    </row>
    <row r="1246" spans="1:38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f t="shared" si="115"/>
        <v>0</v>
      </c>
      <c r="AH1246" t="str">
        <f t="shared" si="116"/>
        <v>26-35</v>
      </c>
      <c r="AI1246" t="str">
        <f t="shared" si="117"/>
        <v>2. 3K-6K</v>
      </c>
      <c r="AJ1246" s="1" t="str">
        <f t="shared" si="118"/>
        <v>3. 6-10 yrs</v>
      </c>
      <c r="AK1246" s="1" t="str">
        <f t="shared" si="119"/>
        <v>1. Low</v>
      </c>
      <c r="AL1246" s="1" t="str">
        <f t="shared" si="120"/>
        <v>3. Better</v>
      </c>
    </row>
    <row r="1247" spans="1:38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f t="shared" si="115"/>
        <v>0</v>
      </c>
      <c r="AH1247" t="str">
        <f t="shared" si="116"/>
        <v>18-25</v>
      </c>
      <c r="AI1247" t="str">
        <f t="shared" si="117"/>
        <v>1. Under 3K</v>
      </c>
      <c r="AJ1247" s="1" t="str">
        <f t="shared" si="118"/>
        <v>2. 2-5 yrs</v>
      </c>
      <c r="AK1247" s="1" t="str">
        <f t="shared" si="119"/>
        <v>4. Very High</v>
      </c>
      <c r="AL1247" s="1" t="str">
        <f t="shared" si="120"/>
        <v>3. Better</v>
      </c>
    </row>
    <row r="1248" spans="1:38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f t="shared" si="115"/>
        <v>1</v>
      </c>
      <c r="AH1248" t="str">
        <f t="shared" si="116"/>
        <v>26-35</v>
      </c>
      <c r="AI1248" t="str">
        <f t="shared" si="117"/>
        <v>1. Under 3K</v>
      </c>
      <c r="AJ1248" s="1" t="str">
        <f t="shared" si="118"/>
        <v>2. 2-5 yrs</v>
      </c>
      <c r="AK1248" s="1" t="str">
        <f t="shared" si="119"/>
        <v>4. Very High</v>
      </c>
      <c r="AL1248" s="1" t="str">
        <f t="shared" si="120"/>
        <v>2. Good</v>
      </c>
    </row>
    <row r="1249" spans="1:38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f t="shared" si="115"/>
        <v>0</v>
      </c>
      <c r="AH1249" t="str">
        <f t="shared" si="116"/>
        <v>26-35</v>
      </c>
      <c r="AI1249" t="str">
        <f t="shared" si="117"/>
        <v>3. 6K-10K</v>
      </c>
      <c r="AJ1249" s="1" t="str">
        <f t="shared" si="118"/>
        <v>2. 2-5 yrs</v>
      </c>
      <c r="AK1249" s="1" t="str">
        <f t="shared" si="119"/>
        <v>3. High</v>
      </c>
      <c r="AL1249" s="1" t="str">
        <f t="shared" si="120"/>
        <v>3. Better</v>
      </c>
    </row>
    <row r="1250" spans="1:38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f t="shared" si="115"/>
        <v>0</v>
      </c>
      <c r="AH1250" t="str">
        <f t="shared" si="116"/>
        <v>26-35</v>
      </c>
      <c r="AI1250" t="str">
        <f t="shared" si="117"/>
        <v>2. 3K-6K</v>
      </c>
      <c r="AJ1250" s="1" t="str">
        <f t="shared" si="118"/>
        <v>3. 6-10 yrs</v>
      </c>
      <c r="AK1250" s="1" t="str">
        <f t="shared" si="119"/>
        <v>4. Very High</v>
      </c>
      <c r="AL1250" s="1" t="str">
        <f t="shared" si="120"/>
        <v>2. Good</v>
      </c>
    </row>
    <row r="1251" spans="1:38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f t="shared" si="115"/>
        <v>1</v>
      </c>
      <c r="AH1251" t="str">
        <f t="shared" si="116"/>
        <v>26-35</v>
      </c>
      <c r="AI1251" t="str">
        <f t="shared" si="117"/>
        <v>1. Under 3K</v>
      </c>
      <c r="AJ1251" s="1" t="str">
        <f t="shared" si="118"/>
        <v>2. 2-5 yrs</v>
      </c>
      <c r="AK1251" s="1" t="str">
        <f t="shared" si="119"/>
        <v>2. Medium</v>
      </c>
      <c r="AL1251" s="1" t="str">
        <f t="shared" si="120"/>
        <v>3. Better</v>
      </c>
    </row>
    <row r="1252" spans="1:38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f t="shared" si="115"/>
        <v>0</v>
      </c>
      <c r="AH1252" t="str">
        <f t="shared" si="116"/>
        <v>26-35</v>
      </c>
      <c r="AI1252" t="str">
        <f t="shared" si="117"/>
        <v>3. 6K-10K</v>
      </c>
      <c r="AJ1252" s="1" t="str">
        <f t="shared" si="118"/>
        <v>2. 2-5 yrs</v>
      </c>
      <c r="AK1252" s="1" t="str">
        <f t="shared" si="119"/>
        <v>3. High</v>
      </c>
      <c r="AL1252" s="1" t="str">
        <f t="shared" si="120"/>
        <v>4. Best</v>
      </c>
    </row>
    <row r="1253" spans="1:38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f t="shared" si="115"/>
        <v>0</v>
      </c>
      <c r="AH1253" t="str">
        <f t="shared" si="116"/>
        <v>26-35</v>
      </c>
      <c r="AI1253" t="str">
        <f t="shared" si="117"/>
        <v>3. 6K-10K</v>
      </c>
      <c r="AJ1253" s="1" t="str">
        <f t="shared" si="118"/>
        <v>3. 6-10 yrs</v>
      </c>
      <c r="AK1253" s="1" t="str">
        <f t="shared" si="119"/>
        <v>1. Low</v>
      </c>
      <c r="AL1253" s="1" t="str">
        <f t="shared" si="120"/>
        <v>3. Better</v>
      </c>
    </row>
    <row r="1254" spans="1:38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f t="shared" si="115"/>
        <v>0</v>
      </c>
      <c r="AH1254" t="str">
        <f t="shared" si="116"/>
        <v>26-35</v>
      </c>
      <c r="AI1254" t="str">
        <f t="shared" si="117"/>
        <v>1. Under 3K</v>
      </c>
      <c r="AJ1254" s="1" t="str">
        <f t="shared" si="118"/>
        <v>2. 2-5 yrs</v>
      </c>
      <c r="AK1254" s="1" t="str">
        <f t="shared" si="119"/>
        <v>4. Very High</v>
      </c>
      <c r="AL1254" s="1" t="str">
        <f t="shared" si="120"/>
        <v>3. Better</v>
      </c>
    </row>
    <row r="1255" spans="1:38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f t="shared" si="115"/>
        <v>0</v>
      </c>
      <c r="AH1255" t="str">
        <f t="shared" si="116"/>
        <v>26-35</v>
      </c>
      <c r="AI1255" t="str">
        <f t="shared" si="117"/>
        <v>2. 3K-6K</v>
      </c>
      <c r="AJ1255" s="1" t="str">
        <f t="shared" si="118"/>
        <v>4. 10+ yrs</v>
      </c>
      <c r="AK1255" s="1" t="str">
        <f t="shared" si="119"/>
        <v>2. Medium</v>
      </c>
      <c r="AL1255" s="1" t="str">
        <f t="shared" si="120"/>
        <v>2. Good</v>
      </c>
    </row>
    <row r="1256" spans="1:38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f t="shared" si="115"/>
        <v>0</v>
      </c>
      <c r="AH1256" t="str">
        <f t="shared" si="116"/>
        <v>46-55</v>
      </c>
      <c r="AI1256" t="str">
        <f t="shared" si="117"/>
        <v>2. 3K-6K</v>
      </c>
      <c r="AJ1256" s="1" t="str">
        <f t="shared" si="118"/>
        <v>2. 2-5 yrs</v>
      </c>
      <c r="AK1256" s="1" t="str">
        <f t="shared" si="119"/>
        <v>4. Very High</v>
      </c>
      <c r="AL1256" s="1" t="str">
        <f t="shared" si="120"/>
        <v>4. Best</v>
      </c>
    </row>
    <row r="1257" spans="1:38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f t="shared" si="115"/>
        <v>1</v>
      </c>
      <c r="AH1257" t="str">
        <f t="shared" si="116"/>
        <v>26-35</v>
      </c>
      <c r="AI1257" t="str">
        <f t="shared" si="117"/>
        <v>3. 6K-10K</v>
      </c>
      <c r="AJ1257" s="1" t="str">
        <f t="shared" si="118"/>
        <v>1. 0-1 yrs</v>
      </c>
      <c r="AK1257" s="1" t="str">
        <f t="shared" si="119"/>
        <v>1. Low</v>
      </c>
      <c r="AL1257" s="1" t="str">
        <f t="shared" si="120"/>
        <v>2. Good</v>
      </c>
    </row>
    <row r="1258" spans="1:38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f t="shared" si="115"/>
        <v>0</v>
      </c>
      <c r="AH1258" t="str">
        <f t="shared" si="116"/>
        <v>36-45</v>
      </c>
      <c r="AI1258" t="str">
        <f t="shared" si="117"/>
        <v>1. Under 3K</v>
      </c>
      <c r="AJ1258" s="1" t="str">
        <f t="shared" si="118"/>
        <v>3. 6-10 yrs</v>
      </c>
      <c r="AK1258" s="1" t="str">
        <f t="shared" si="119"/>
        <v>2. Medium</v>
      </c>
      <c r="AL1258" s="1" t="str">
        <f t="shared" si="120"/>
        <v>2. Good</v>
      </c>
    </row>
    <row r="1259" spans="1:38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f t="shared" si="115"/>
        <v>1</v>
      </c>
      <c r="AH1259" t="str">
        <f t="shared" si="116"/>
        <v>26-35</v>
      </c>
      <c r="AI1259" t="str">
        <f t="shared" si="117"/>
        <v>3. 6K-10K</v>
      </c>
      <c r="AJ1259" s="1" t="str">
        <f t="shared" si="118"/>
        <v>1. 0-1 yrs</v>
      </c>
      <c r="AK1259" s="1" t="str">
        <f t="shared" si="119"/>
        <v>3. High</v>
      </c>
      <c r="AL1259" s="1" t="str">
        <f t="shared" si="120"/>
        <v>3. Better</v>
      </c>
    </row>
    <row r="1260" spans="1:38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f t="shared" si="115"/>
        <v>0</v>
      </c>
      <c r="AH1260" t="str">
        <f t="shared" si="116"/>
        <v>26-35</v>
      </c>
      <c r="AI1260" t="str">
        <f t="shared" si="117"/>
        <v>1. Under 3K</v>
      </c>
      <c r="AJ1260" s="1" t="str">
        <f t="shared" si="118"/>
        <v>1. 0-1 yrs</v>
      </c>
      <c r="AK1260" s="1" t="str">
        <f t="shared" si="119"/>
        <v>1. Low</v>
      </c>
      <c r="AL1260" s="1" t="str">
        <f t="shared" si="120"/>
        <v>3. Better</v>
      </c>
    </row>
    <row r="1261" spans="1:38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f t="shared" si="115"/>
        <v>0</v>
      </c>
      <c r="AH1261" t="str">
        <f t="shared" si="116"/>
        <v>26-35</v>
      </c>
      <c r="AI1261" t="str">
        <f t="shared" si="117"/>
        <v>2. 3K-6K</v>
      </c>
      <c r="AJ1261" s="1" t="str">
        <f t="shared" si="118"/>
        <v>3. 6-10 yrs</v>
      </c>
      <c r="AK1261" s="1" t="str">
        <f t="shared" si="119"/>
        <v>3. High</v>
      </c>
      <c r="AL1261" s="1" t="str">
        <f t="shared" si="120"/>
        <v>3. Better</v>
      </c>
    </row>
    <row r="1262" spans="1:38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f t="shared" si="115"/>
        <v>0</v>
      </c>
      <c r="AH1262" t="str">
        <f t="shared" si="116"/>
        <v>26-35</v>
      </c>
      <c r="AI1262" t="str">
        <f t="shared" si="117"/>
        <v>1. Under 3K</v>
      </c>
      <c r="AJ1262" s="1" t="str">
        <f t="shared" si="118"/>
        <v>3. 6-10 yrs</v>
      </c>
      <c r="AK1262" s="1" t="str">
        <f t="shared" si="119"/>
        <v>2. Medium</v>
      </c>
      <c r="AL1262" s="1" t="str">
        <f t="shared" si="120"/>
        <v>3. Better</v>
      </c>
    </row>
    <row r="1263" spans="1:38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f t="shared" si="115"/>
        <v>0</v>
      </c>
      <c r="AH1263" t="str">
        <f t="shared" si="116"/>
        <v>36-45</v>
      </c>
      <c r="AI1263" t="str">
        <f t="shared" si="117"/>
        <v>2. 3K-6K</v>
      </c>
      <c r="AJ1263" s="1" t="str">
        <f t="shared" si="118"/>
        <v>1. 0-1 yrs</v>
      </c>
      <c r="AK1263" s="1" t="str">
        <f t="shared" si="119"/>
        <v>4. Very High</v>
      </c>
      <c r="AL1263" s="1" t="str">
        <f t="shared" si="120"/>
        <v>3. Better</v>
      </c>
    </row>
    <row r="1264" spans="1:38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f t="shared" si="115"/>
        <v>1</v>
      </c>
      <c r="AH1264" t="str">
        <f t="shared" si="116"/>
        <v>36-45</v>
      </c>
      <c r="AI1264" t="str">
        <f t="shared" si="117"/>
        <v>1. Under 3K</v>
      </c>
      <c r="AJ1264" s="1" t="str">
        <f t="shared" si="118"/>
        <v>1. 0-1 yrs</v>
      </c>
      <c r="AK1264" s="1" t="str">
        <f t="shared" si="119"/>
        <v>3. High</v>
      </c>
      <c r="AL1264" s="1" t="str">
        <f t="shared" si="120"/>
        <v>3. Better</v>
      </c>
    </row>
    <row r="1265" spans="1:38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f t="shared" si="115"/>
        <v>0</v>
      </c>
      <c r="AH1265" t="str">
        <f t="shared" si="116"/>
        <v>36-45</v>
      </c>
      <c r="AI1265" t="str">
        <f t="shared" si="117"/>
        <v>1. Under 3K</v>
      </c>
      <c r="AJ1265" s="1" t="str">
        <f t="shared" si="118"/>
        <v>2. 2-5 yrs</v>
      </c>
      <c r="AK1265" s="1" t="str">
        <f t="shared" si="119"/>
        <v>2. Medium</v>
      </c>
      <c r="AL1265" s="1" t="str">
        <f t="shared" si="120"/>
        <v>2. Good</v>
      </c>
    </row>
    <row r="1266" spans="1:38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f t="shared" si="115"/>
        <v>0</v>
      </c>
      <c r="AH1266" t="str">
        <f t="shared" si="116"/>
        <v>46-55</v>
      </c>
      <c r="AI1266" t="str">
        <f t="shared" si="117"/>
        <v>4. 10K+</v>
      </c>
      <c r="AJ1266" s="1" t="str">
        <f t="shared" si="118"/>
        <v>1. 0-1 yrs</v>
      </c>
      <c r="AK1266" s="1" t="str">
        <f t="shared" si="119"/>
        <v>1. Low</v>
      </c>
      <c r="AL1266" s="1" t="str">
        <f t="shared" si="120"/>
        <v>3. Better</v>
      </c>
    </row>
    <row r="1267" spans="1:38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f t="shared" si="115"/>
        <v>0</v>
      </c>
      <c r="AH1267" t="str">
        <f t="shared" si="116"/>
        <v>26-35</v>
      </c>
      <c r="AI1267" t="str">
        <f t="shared" si="117"/>
        <v>2. 3K-6K</v>
      </c>
      <c r="AJ1267" s="1" t="str">
        <f t="shared" si="118"/>
        <v>3. 6-10 yrs</v>
      </c>
      <c r="AK1267" s="1" t="str">
        <f t="shared" si="119"/>
        <v>2. Medium</v>
      </c>
      <c r="AL1267" s="1" t="str">
        <f t="shared" si="120"/>
        <v>2. Good</v>
      </c>
    </row>
    <row r="1268" spans="1:38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f t="shared" si="115"/>
        <v>0</v>
      </c>
      <c r="AH1268" t="str">
        <f t="shared" si="116"/>
        <v>36-45</v>
      </c>
      <c r="AI1268" t="str">
        <f t="shared" si="117"/>
        <v>1. Under 3K</v>
      </c>
      <c r="AJ1268" s="1" t="str">
        <f t="shared" si="118"/>
        <v>2. 2-5 yrs</v>
      </c>
      <c r="AK1268" s="1" t="str">
        <f t="shared" si="119"/>
        <v>1. Low</v>
      </c>
      <c r="AL1268" s="1" t="str">
        <f t="shared" si="120"/>
        <v>3. Better</v>
      </c>
    </row>
    <row r="1269" spans="1:38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f t="shared" si="115"/>
        <v>0</v>
      </c>
      <c r="AH1269" t="str">
        <f t="shared" si="116"/>
        <v>26-35</v>
      </c>
      <c r="AI1269" t="str">
        <f t="shared" si="117"/>
        <v>2. 3K-6K</v>
      </c>
      <c r="AJ1269" s="1" t="str">
        <f t="shared" si="118"/>
        <v>4. 10+ yrs</v>
      </c>
      <c r="AK1269" s="1" t="str">
        <f t="shared" si="119"/>
        <v>3. High</v>
      </c>
      <c r="AL1269" s="1" t="str">
        <f t="shared" si="120"/>
        <v>3. Better</v>
      </c>
    </row>
    <row r="1270" spans="1:38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f t="shared" si="115"/>
        <v>0</v>
      </c>
      <c r="AH1270" t="str">
        <f t="shared" si="116"/>
        <v>46-55</v>
      </c>
      <c r="AI1270" t="str">
        <f t="shared" si="117"/>
        <v>4. 10K+</v>
      </c>
      <c r="AJ1270" s="1" t="str">
        <f t="shared" si="118"/>
        <v>2. 2-5 yrs</v>
      </c>
      <c r="AK1270" s="1" t="str">
        <f t="shared" si="119"/>
        <v>3. High</v>
      </c>
      <c r="AL1270" s="1" t="str">
        <f t="shared" si="120"/>
        <v>2. Good</v>
      </c>
    </row>
    <row r="1271" spans="1:38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f t="shared" si="115"/>
        <v>0</v>
      </c>
      <c r="AH1271" t="str">
        <f t="shared" si="116"/>
        <v>36-45</v>
      </c>
      <c r="AI1271" t="str">
        <f t="shared" si="117"/>
        <v>2. 3K-6K</v>
      </c>
      <c r="AJ1271" s="1" t="str">
        <f t="shared" si="118"/>
        <v>3. 6-10 yrs</v>
      </c>
      <c r="AK1271" s="1" t="str">
        <f t="shared" si="119"/>
        <v>4. Very High</v>
      </c>
      <c r="AL1271" s="1" t="str">
        <f t="shared" si="120"/>
        <v>3. Better</v>
      </c>
    </row>
    <row r="1272" spans="1:38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f t="shared" si="115"/>
        <v>0</v>
      </c>
      <c r="AH1272" t="str">
        <f t="shared" si="116"/>
        <v>26-35</v>
      </c>
      <c r="AI1272" t="str">
        <f t="shared" si="117"/>
        <v>3. 6K-10K</v>
      </c>
      <c r="AJ1272" s="1" t="str">
        <f t="shared" si="118"/>
        <v>2. 2-5 yrs</v>
      </c>
      <c r="AK1272" s="1" t="str">
        <f t="shared" si="119"/>
        <v>4. Very High</v>
      </c>
      <c r="AL1272" s="1" t="str">
        <f t="shared" si="120"/>
        <v>3. Better</v>
      </c>
    </row>
    <row r="1273" spans="1:38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f t="shared" si="115"/>
        <v>1</v>
      </c>
      <c r="AH1273" t="str">
        <f t="shared" si="116"/>
        <v>18-25</v>
      </c>
      <c r="AI1273" t="str">
        <f t="shared" si="117"/>
        <v>1. Under 3K</v>
      </c>
      <c r="AJ1273" s="1" t="str">
        <f t="shared" si="118"/>
        <v>1. 0-1 yrs</v>
      </c>
      <c r="AK1273" s="1" t="str">
        <f t="shared" si="119"/>
        <v>2. Medium</v>
      </c>
      <c r="AL1273" s="1" t="str">
        <f t="shared" si="120"/>
        <v>3. Better</v>
      </c>
    </row>
    <row r="1274" spans="1:38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f t="shared" si="115"/>
        <v>0</v>
      </c>
      <c r="AH1274" t="str">
        <f t="shared" si="116"/>
        <v>36-45</v>
      </c>
      <c r="AI1274" t="str">
        <f t="shared" si="117"/>
        <v>2. 3K-6K</v>
      </c>
      <c r="AJ1274" s="1" t="str">
        <f t="shared" si="118"/>
        <v>2. 2-5 yrs</v>
      </c>
      <c r="AK1274" s="1" t="str">
        <f t="shared" si="119"/>
        <v>3. High</v>
      </c>
      <c r="AL1274" s="1" t="str">
        <f t="shared" si="120"/>
        <v>3. Better</v>
      </c>
    </row>
    <row r="1275" spans="1:38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f t="shared" si="115"/>
        <v>1</v>
      </c>
      <c r="AH1275" t="str">
        <f t="shared" si="116"/>
        <v>18-25</v>
      </c>
      <c r="AI1275" t="str">
        <f t="shared" si="117"/>
        <v>1. Under 3K</v>
      </c>
      <c r="AJ1275" s="1" t="str">
        <f t="shared" si="118"/>
        <v>1. 0-1 yrs</v>
      </c>
      <c r="AK1275" s="1" t="str">
        <f t="shared" si="119"/>
        <v>1. Low</v>
      </c>
      <c r="AL1275" s="1" t="str">
        <f t="shared" si="120"/>
        <v>3. Better</v>
      </c>
    </row>
    <row r="1276" spans="1:38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f t="shared" si="115"/>
        <v>0</v>
      </c>
      <c r="AH1276" t="str">
        <f t="shared" si="116"/>
        <v>26-35</v>
      </c>
      <c r="AI1276" t="str">
        <f t="shared" si="117"/>
        <v>2. 3K-6K</v>
      </c>
      <c r="AJ1276" s="1" t="str">
        <f t="shared" si="118"/>
        <v>4. 10+ yrs</v>
      </c>
      <c r="AK1276" s="1" t="str">
        <f t="shared" si="119"/>
        <v>4. Very High</v>
      </c>
      <c r="AL1276" s="1" t="str">
        <f t="shared" si="120"/>
        <v>3. Better</v>
      </c>
    </row>
    <row r="1277" spans="1:38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f t="shared" si="115"/>
        <v>0</v>
      </c>
      <c r="AH1277" t="str">
        <f t="shared" si="116"/>
        <v>46-55</v>
      </c>
      <c r="AI1277" t="str">
        <f t="shared" si="117"/>
        <v>4. 10K+</v>
      </c>
      <c r="AJ1277" s="1" t="str">
        <f t="shared" si="118"/>
        <v>2. 2-5 yrs</v>
      </c>
      <c r="AK1277" s="1" t="str">
        <f t="shared" si="119"/>
        <v>3. High</v>
      </c>
      <c r="AL1277" s="1" t="str">
        <f t="shared" si="120"/>
        <v>3. Better</v>
      </c>
    </row>
    <row r="1278" spans="1:38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f t="shared" si="115"/>
        <v>0</v>
      </c>
      <c r="AH1278" t="str">
        <f t="shared" si="116"/>
        <v>36-45</v>
      </c>
      <c r="AI1278" t="str">
        <f t="shared" si="117"/>
        <v>2. 3K-6K</v>
      </c>
      <c r="AJ1278" s="1" t="str">
        <f t="shared" si="118"/>
        <v>2. 2-5 yrs</v>
      </c>
      <c r="AK1278" s="1" t="str">
        <f t="shared" si="119"/>
        <v>2. Medium</v>
      </c>
      <c r="AL1278" s="1" t="str">
        <f t="shared" si="120"/>
        <v>3. Better</v>
      </c>
    </row>
    <row r="1279" spans="1:38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f t="shared" si="115"/>
        <v>0</v>
      </c>
      <c r="AH1279" t="str">
        <f t="shared" si="116"/>
        <v>46-55</v>
      </c>
      <c r="AI1279" t="str">
        <f t="shared" si="117"/>
        <v>4. 10K+</v>
      </c>
      <c r="AJ1279" s="1" t="str">
        <f t="shared" si="118"/>
        <v>2. 2-5 yrs</v>
      </c>
      <c r="AK1279" s="1" t="str">
        <f t="shared" si="119"/>
        <v>4. Very High</v>
      </c>
      <c r="AL1279" s="1" t="str">
        <f t="shared" si="120"/>
        <v>3. Better</v>
      </c>
    </row>
    <row r="1280" spans="1:38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f t="shared" si="115"/>
        <v>0</v>
      </c>
      <c r="AH1280" t="str">
        <f t="shared" si="116"/>
        <v>36-45</v>
      </c>
      <c r="AI1280" t="str">
        <f t="shared" si="117"/>
        <v>3. 6K-10K</v>
      </c>
      <c r="AJ1280" s="1" t="str">
        <f t="shared" si="118"/>
        <v>4. 10+ yrs</v>
      </c>
      <c r="AK1280" s="1" t="str">
        <f t="shared" si="119"/>
        <v>1. Low</v>
      </c>
      <c r="AL1280" s="1" t="str">
        <f t="shared" si="120"/>
        <v>3. Better</v>
      </c>
    </row>
    <row r="1281" spans="1:38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f t="shared" si="115"/>
        <v>1</v>
      </c>
      <c r="AH1281" t="str">
        <f t="shared" si="116"/>
        <v>36-45</v>
      </c>
      <c r="AI1281" t="str">
        <f t="shared" si="117"/>
        <v>1. Under 3K</v>
      </c>
      <c r="AJ1281" s="1" t="str">
        <f t="shared" si="118"/>
        <v>2. 2-5 yrs</v>
      </c>
      <c r="AK1281" s="1" t="str">
        <f t="shared" si="119"/>
        <v>2. Medium</v>
      </c>
      <c r="AL1281" s="1" t="str">
        <f t="shared" si="120"/>
        <v>2. Good</v>
      </c>
    </row>
    <row r="1282" spans="1:38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f t="shared" ref="AG1282:AG1345" si="121">IF(B1282="Yes",1,0)</f>
        <v>0</v>
      </c>
      <c r="AH1282" t="str">
        <f t="shared" ref="AH1282:AH1345" si="122">IF(A1282&lt;26,"18-25",IF(A1282&lt;36,"26-35",IF(A1282&lt;46,"36-45",IF(A1282&lt;56,"46-55","56+"))))</f>
        <v>36-45</v>
      </c>
      <c r="AI1282" t="str">
        <f t="shared" ref="AI1282:AI1345" si="123">IF(R1282&lt;3000,"1. Under 3K",IF(R1282&lt;6000,"2. 3K-6K",IF(R1282&lt;10000,"3. 6K-10K","4. 10K+")))</f>
        <v>2. 3K-6K</v>
      </c>
      <c r="AJ1282" s="1" t="str">
        <f t="shared" ref="AJ1282:AJ1345" si="124">IF(AC1282&lt;2,"1. 0-1 yrs",IF(AC1282&lt;6,"2. 2-5 yrs",IF(AC1282&lt;11,"3. 6-10 yrs","4. 10+ yrs")))</f>
        <v>3. 6-10 yrs</v>
      </c>
      <c r="AK1282" s="1" t="str">
        <f t="shared" ref="AK1282:AK1345" si="125">CHOOSE(P1282,"1. Low","2. Medium","3. High","4. Very High")</f>
        <v>2. Medium</v>
      </c>
      <c r="AL1282" s="1" t="str">
        <f t="shared" ref="AL1282:AL1345" si="126">CHOOSE(AB1282,"1. Bad","2. Good","3. Better","4. Best")</f>
        <v>2. Good</v>
      </c>
    </row>
    <row r="1283" spans="1:38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f t="shared" si="121"/>
        <v>1</v>
      </c>
      <c r="AH1283" t="str">
        <f t="shared" si="122"/>
        <v>26-35</v>
      </c>
      <c r="AI1283" t="str">
        <f t="shared" si="123"/>
        <v>2. 3K-6K</v>
      </c>
      <c r="AJ1283" s="1" t="str">
        <f t="shared" si="124"/>
        <v>3. 6-10 yrs</v>
      </c>
      <c r="AK1283" s="1" t="str">
        <f t="shared" si="125"/>
        <v>4. Very High</v>
      </c>
      <c r="AL1283" s="1" t="str">
        <f t="shared" si="126"/>
        <v>3. Better</v>
      </c>
    </row>
    <row r="1284" spans="1:38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f t="shared" si="121"/>
        <v>0</v>
      </c>
      <c r="AH1284" t="str">
        <f t="shared" si="122"/>
        <v>26-35</v>
      </c>
      <c r="AI1284" t="str">
        <f t="shared" si="123"/>
        <v>2. 3K-6K</v>
      </c>
      <c r="AJ1284" s="1" t="str">
        <f t="shared" si="124"/>
        <v>3. 6-10 yrs</v>
      </c>
      <c r="AK1284" s="1" t="str">
        <f t="shared" si="125"/>
        <v>1. Low</v>
      </c>
      <c r="AL1284" s="1" t="str">
        <f t="shared" si="126"/>
        <v>3. Better</v>
      </c>
    </row>
    <row r="1285" spans="1:38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f t="shared" si="121"/>
        <v>0</v>
      </c>
      <c r="AH1285" t="str">
        <f t="shared" si="122"/>
        <v>26-35</v>
      </c>
      <c r="AI1285" t="str">
        <f t="shared" si="123"/>
        <v>1. Under 3K</v>
      </c>
      <c r="AJ1285" s="1" t="str">
        <f t="shared" si="124"/>
        <v>2. 2-5 yrs</v>
      </c>
      <c r="AK1285" s="1" t="str">
        <f t="shared" si="125"/>
        <v>4. Very High</v>
      </c>
      <c r="AL1285" s="1" t="str">
        <f t="shared" si="126"/>
        <v>4. Best</v>
      </c>
    </row>
    <row r="1286" spans="1:38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f t="shared" si="121"/>
        <v>0</v>
      </c>
      <c r="AH1286" t="str">
        <f t="shared" si="122"/>
        <v>36-45</v>
      </c>
      <c r="AI1286" t="str">
        <f t="shared" si="123"/>
        <v>4. 10K+</v>
      </c>
      <c r="AJ1286" s="1" t="str">
        <f t="shared" si="124"/>
        <v>2. 2-5 yrs</v>
      </c>
      <c r="AK1286" s="1" t="str">
        <f t="shared" si="125"/>
        <v>3. High</v>
      </c>
      <c r="AL1286" s="1" t="str">
        <f t="shared" si="126"/>
        <v>3. Better</v>
      </c>
    </row>
    <row r="1287" spans="1:38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f t="shared" si="121"/>
        <v>0</v>
      </c>
      <c r="AH1287" t="str">
        <f t="shared" si="122"/>
        <v>46-55</v>
      </c>
      <c r="AI1287" t="str">
        <f t="shared" si="123"/>
        <v>3. 6K-10K</v>
      </c>
      <c r="AJ1287" s="1" t="str">
        <f t="shared" si="124"/>
        <v>2. 2-5 yrs</v>
      </c>
      <c r="AK1287" s="1" t="str">
        <f t="shared" si="125"/>
        <v>2. Medium</v>
      </c>
      <c r="AL1287" s="1" t="str">
        <f t="shared" si="126"/>
        <v>3. Better</v>
      </c>
    </row>
    <row r="1288" spans="1:38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f t="shared" si="121"/>
        <v>0</v>
      </c>
      <c r="AH1288" t="str">
        <f t="shared" si="122"/>
        <v>36-45</v>
      </c>
      <c r="AI1288" t="str">
        <f t="shared" si="123"/>
        <v>2. 3K-6K</v>
      </c>
      <c r="AJ1288" s="1" t="str">
        <f t="shared" si="124"/>
        <v>2. 2-5 yrs</v>
      </c>
      <c r="AK1288" s="1" t="str">
        <f t="shared" si="125"/>
        <v>1. Low</v>
      </c>
      <c r="AL1288" s="1" t="str">
        <f t="shared" si="126"/>
        <v>2. Good</v>
      </c>
    </row>
    <row r="1289" spans="1:38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f t="shared" si="121"/>
        <v>0</v>
      </c>
      <c r="AH1289" t="str">
        <f t="shared" si="122"/>
        <v>36-45</v>
      </c>
      <c r="AI1289" t="str">
        <f t="shared" si="123"/>
        <v>2. 3K-6K</v>
      </c>
      <c r="AJ1289" s="1" t="str">
        <f t="shared" si="124"/>
        <v>1. 0-1 yrs</v>
      </c>
      <c r="AK1289" s="1" t="str">
        <f t="shared" si="125"/>
        <v>1. Low</v>
      </c>
      <c r="AL1289" s="1" t="str">
        <f t="shared" si="126"/>
        <v>2. Good</v>
      </c>
    </row>
    <row r="1290" spans="1:38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f t="shared" si="121"/>
        <v>0</v>
      </c>
      <c r="AH1290" t="str">
        <f t="shared" si="122"/>
        <v>26-35</v>
      </c>
      <c r="AI1290" t="str">
        <f t="shared" si="123"/>
        <v>2. 3K-6K</v>
      </c>
      <c r="AJ1290" s="1" t="str">
        <f t="shared" si="124"/>
        <v>3. 6-10 yrs</v>
      </c>
      <c r="AK1290" s="1" t="str">
        <f t="shared" si="125"/>
        <v>4. Very High</v>
      </c>
      <c r="AL1290" s="1" t="str">
        <f t="shared" si="126"/>
        <v>3. Better</v>
      </c>
    </row>
    <row r="1291" spans="1:38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f t="shared" si="121"/>
        <v>0</v>
      </c>
      <c r="AH1291" t="str">
        <f t="shared" si="122"/>
        <v>36-45</v>
      </c>
      <c r="AI1291" t="str">
        <f t="shared" si="123"/>
        <v>1. Under 3K</v>
      </c>
      <c r="AJ1291" s="1" t="str">
        <f t="shared" si="124"/>
        <v>4. 10+ yrs</v>
      </c>
      <c r="AK1291" s="1" t="str">
        <f t="shared" si="125"/>
        <v>2. Medium</v>
      </c>
      <c r="AL1291" s="1" t="str">
        <f t="shared" si="126"/>
        <v>3. Better</v>
      </c>
    </row>
    <row r="1292" spans="1:38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f t="shared" si="121"/>
        <v>1</v>
      </c>
      <c r="AH1292" t="str">
        <f t="shared" si="122"/>
        <v>26-35</v>
      </c>
      <c r="AI1292" t="str">
        <f t="shared" si="123"/>
        <v>2. 3K-6K</v>
      </c>
      <c r="AJ1292" s="1" t="str">
        <f t="shared" si="124"/>
        <v>3. 6-10 yrs</v>
      </c>
      <c r="AK1292" s="1" t="str">
        <f t="shared" si="125"/>
        <v>1. Low</v>
      </c>
      <c r="AL1292" s="1" t="str">
        <f t="shared" si="126"/>
        <v>2. Good</v>
      </c>
    </row>
    <row r="1293" spans="1:38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f t="shared" si="121"/>
        <v>1</v>
      </c>
      <c r="AH1293" t="str">
        <f t="shared" si="122"/>
        <v>36-45</v>
      </c>
      <c r="AI1293" t="str">
        <f t="shared" si="123"/>
        <v>2. 3K-6K</v>
      </c>
      <c r="AJ1293" s="1" t="str">
        <f t="shared" si="124"/>
        <v>3. 6-10 yrs</v>
      </c>
      <c r="AK1293" s="1" t="str">
        <f t="shared" si="125"/>
        <v>1. Low</v>
      </c>
      <c r="AL1293" s="1" t="str">
        <f t="shared" si="126"/>
        <v>1. Bad</v>
      </c>
    </row>
    <row r="1294" spans="1:38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f t="shared" si="121"/>
        <v>0</v>
      </c>
      <c r="AH1294" t="str">
        <f t="shared" si="122"/>
        <v>36-45</v>
      </c>
      <c r="AI1294" t="str">
        <f t="shared" si="123"/>
        <v>2. 3K-6K</v>
      </c>
      <c r="AJ1294" s="1" t="str">
        <f t="shared" si="124"/>
        <v>2. 2-5 yrs</v>
      </c>
      <c r="AK1294" s="1" t="str">
        <f t="shared" si="125"/>
        <v>4. Very High</v>
      </c>
      <c r="AL1294" s="1" t="str">
        <f t="shared" si="126"/>
        <v>3. Better</v>
      </c>
    </row>
    <row r="1295" spans="1:38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f t="shared" si="121"/>
        <v>0</v>
      </c>
      <c r="AH1295" t="str">
        <f t="shared" si="122"/>
        <v>36-45</v>
      </c>
      <c r="AI1295" t="str">
        <f t="shared" si="123"/>
        <v>1. Under 3K</v>
      </c>
      <c r="AJ1295" s="1" t="str">
        <f t="shared" si="124"/>
        <v>2. 2-5 yrs</v>
      </c>
      <c r="AK1295" s="1" t="str">
        <f t="shared" si="125"/>
        <v>3. High</v>
      </c>
      <c r="AL1295" s="1" t="str">
        <f t="shared" si="126"/>
        <v>2. Good</v>
      </c>
    </row>
    <row r="1296" spans="1:38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f t="shared" si="121"/>
        <v>0</v>
      </c>
      <c r="AH1296" t="str">
        <f t="shared" si="122"/>
        <v>36-45</v>
      </c>
      <c r="AI1296" t="str">
        <f t="shared" si="123"/>
        <v>3. 6K-10K</v>
      </c>
      <c r="AJ1296" s="1" t="str">
        <f t="shared" si="124"/>
        <v>2. 2-5 yrs</v>
      </c>
      <c r="AK1296" s="1" t="str">
        <f t="shared" si="125"/>
        <v>2. Medium</v>
      </c>
      <c r="AL1296" s="1" t="str">
        <f t="shared" si="126"/>
        <v>1. Bad</v>
      </c>
    </row>
    <row r="1297" spans="1:38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f t="shared" si="121"/>
        <v>0</v>
      </c>
      <c r="AH1297" t="str">
        <f t="shared" si="122"/>
        <v>36-45</v>
      </c>
      <c r="AI1297" t="str">
        <f t="shared" si="123"/>
        <v>4. 10K+</v>
      </c>
      <c r="AJ1297" s="1" t="str">
        <f t="shared" si="124"/>
        <v>4. 10+ yrs</v>
      </c>
      <c r="AK1297" s="1" t="str">
        <f t="shared" si="125"/>
        <v>3. High</v>
      </c>
      <c r="AL1297" s="1" t="str">
        <f t="shared" si="126"/>
        <v>4. Best</v>
      </c>
    </row>
    <row r="1298" spans="1:38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f t="shared" si="121"/>
        <v>0</v>
      </c>
      <c r="AH1298" t="str">
        <f t="shared" si="122"/>
        <v>26-35</v>
      </c>
      <c r="AI1298" t="str">
        <f t="shared" si="123"/>
        <v>3. 6K-10K</v>
      </c>
      <c r="AJ1298" s="1" t="str">
        <f t="shared" si="124"/>
        <v>3. 6-10 yrs</v>
      </c>
      <c r="AK1298" s="1" t="str">
        <f t="shared" si="125"/>
        <v>3. High</v>
      </c>
      <c r="AL1298" s="1" t="str">
        <f t="shared" si="126"/>
        <v>3. Better</v>
      </c>
    </row>
    <row r="1299" spans="1:38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f t="shared" si="121"/>
        <v>1</v>
      </c>
      <c r="AH1299" t="str">
        <f t="shared" si="122"/>
        <v>26-35</v>
      </c>
      <c r="AI1299" t="str">
        <f t="shared" si="123"/>
        <v>1. Under 3K</v>
      </c>
      <c r="AJ1299" s="1" t="str">
        <f t="shared" si="124"/>
        <v>2. 2-5 yrs</v>
      </c>
      <c r="AK1299" s="1" t="str">
        <f t="shared" si="125"/>
        <v>2. Medium</v>
      </c>
      <c r="AL1299" s="1" t="str">
        <f t="shared" si="126"/>
        <v>3. Better</v>
      </c>
    </row>
    <row r="1300" spans="1:38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f t="shared" si="121"/>
        <v>1</v>
      </c>
      <c r="AH1300" t="str">
        <f t="shared" si="122"/>
        <v>46-55</v>
      </c>
      <c r="AI1300" t="str">
        <f t="shared" si="123"/>
        <v>3. 6K-10K</v>
      </c>
      <c r="AJ1300" s="1" t="str">
        <f t="shared" si="124"/>
        <v>3. 6-10 yrs</v>
      </c>
      <c r="AK1300" s="1" t="str">
        <f t="shared" si="125"/>
        <v>2. Medium</v>
      </c>
      <c r="AL1300" s="1" t="str">
        <f t="shared" si="126"/>
        <v>4. Best</v>
      </c>
    </row>
    <row r="1301" spans="1:38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f t="shared" si="121"/>
        <v>0</v>
      </c>
      <c r="AH1301" t="str">
        <f t="shared" si="122"/>
        <v>36-45</v>
      </c>
      <c r="AI1301" t="str">
        <f t="shared" si="123"/>
        <v>3. 6K-10K</v>
      </c>
      <c r="AJ1301" s="1" t="str">
        <f t="shared" si="124"/>
        <v>2. 2-5 yrs</v>
      </c>
      <c r="AK1301" s="1" t="str">
        <f t="shared" si="125"/>
        <v>4. Very High</v>
      </c>
      <c r="AL1301" s="1" t="str">
        <f t="shared" si="126"/>
        <v>3. Better</v>
      </c>
    </row>
    <row r="1302" spans="1:38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f t="shared" si="121"/>
        <v>0</v>
      </c>
      <c r="AH1302" t="str">
        <f t="shared" si="122"/>
        <v>26-35</v>
      </c>
      <c r="AI1302" t="str">
        <f t="shared" si="123"/>
        <v>3. 6K-10K</v>
      </c>
      <c r="AJ1302" s="1" t="str">
        <f t="shared" si="124"/>
        <v>3. 6-10 yrs</v>
      </c>
      <c r="AK1302" s="1" t="str">
        <f t="shared" si="125"/>
        <v>3. High</v>
      </c>
      <c r="AL1302" s="1" t="str">
        <f t="shared" si="126"/>
        <v>3. Better</v>
      </c>
    </row>
    <row r="1303" spans="1:38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f t="shared" si="121"/>
        <v>0</v>
      </c>
      <c r="AH1303" t="str">
        <f t="shared" si="122"/>
        <v>56+</v>
      </c>
      <c r="AI1303" t="str">
        <f t="shared" si="123"/>
        <v>4. 10K+</v>
      </c>
      <c r="AJ1303" s="1" t="str">
        <f t="shared" si="124"/>
        <v>4. 10+ yrs</v>
      </c>
      <c r="AK1303" s="1" t="str">
        <f t="shared" si="125"/>
        <v>2. Medium</v>
      </c>
      <c r="AL1303" s="1" t="str">
        <f t="shared" si="126"/>
        <v>2. Good</v>
      </c>
    </row>
    <row r="1304" spans="1:38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f t="shared" si="121"/>
        <v>0</v>
      </c>
      <c r="AH1304" t="str">
        <f t="shared" si="122"/>
        <v>26-35</v>
      </c>
      <c r="AI1304" t="str">
        <f t="shared" si="123"/>
        <v>1. Under 3K</v>
      </c>
      <c r="AJ1304" s="1" t="str">
        <f t="shared" si="124"/>
        <v>2. 2-5 yrs</v>
      </c>
      <c r="AK1304" s="1" t="str">
        <f t="shared" si="125"/>
        <v>3. High</v>
      </c>
      <c r="AL1304" s="1" t="str">
        <f t="shared" si="126"/>
        <v>4. Best</v>
      </c>
    </row>
    <row r="1305" spans="1:38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f t="shared" si="121"/>
        <v>0</v>
      </c>
      <c r="AH1305" t="str">
        <f t="shared" si="122"/>
        <v>46-55</v>
      </c>
      <c r="AI1305" t="str">
        <f t="shared" si="123"/>
        <v>4. 10K+</v>
      </c>
      <c r="AJ1305" s="1" t="str">
        <f t="shared" si="124"/>
        <v>4. 10+ yrs</v>
      </c>
      <c r="AK1305" s="1" t="str">
        <f t="shared" si="125"/>
        <v>2. Medium</v>
      </c>
      <c r="AL1305" s="1" t="str">
        <f t="shared" si="126"/>
        <v>3. Better</v>
      </c>
    </row>
    <row r="1306" spans="1:38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f t="shared" si="121"/>
        <v>0</v>
      </c>
      <c r="AH1306" t="str">
        <f t="shared" si="122"/>
        <v>36-45</v>
      </c>
      <c r="AI1306" t="str">
        <f t="shared" si="123"/>
        <v>2. 3K-6K</v>
      </c>
      <c r="AJ1306" s="1" t="str">
        <f t="shared" si="124"/>
        <v>3. 6-10 yrs</v>
      </c>
      <c r="AK1306" s="1" t="str">
        <f t="shared" si="125"/>
        <v>1. Low</v>
      </c>
      <c r="AL1306" s="1" t="str">
        <f t="shared" si="126"/>
        <v>3. Better</v>
      </c>
    </row>
    <row r="1307" spans="1:38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f t="shared" si="121"/>
        <v>0</v>
      </c>
      <c r="AH1307" t="str">
        <f t="shared" si="122"/>
        <v>46-55</v>
      </c>
      <c r="AI1307" t="str">
        <f t="shared" si="123"/>
        <v>3. 6K-10K</v>
      </c>
      <c r="AJ1307" s="1" t="str">
        <f t="shared" si="124"/>
        <v>3. 6-10 yrs</v>
      </c>
      <c r="AK1307" s="1" t="str">
        <f t="shared" si="125"/>
        <v>4. Very High</v>
      </c>
      <c r="AL1307" s="1" t="str">
        <f t="shared" si="126"/>
        <v>2. Good</v>
      </c>
    </row>
    <row r="1308" spans="1:38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f t="shared" si="121"/>
        <v>0</v>
      </c>
      <c r="AH1308" t="str">
        <f t="shared" si="122"/>
        <v>26-35</v>
      </c>
      <c r="AI1308" t="str">
        <f t="shared" si="123"/>
        <v>3. 6K-10K</v>
      </c>
      <c r="AJ1308" s="1" t="str">
        <f t="shared" si="124"/>
        <v>2. 2-5 yrs</v>
      </c>
      <c r="AK1308" s="1" t="str">
        <f t="shared" si="125"/>
        <v>1. Low</v>
      </c>
      <c r="AL1308" s="1" t="str">
        <f t="shared" si="126"/>
        <v>3. Better</v>
      </c>
    </row>
    <row r="1309" spans="1:38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f t="shared" si="121"/>
        <v>0</v>
      </c>
      <c r="AH1309" t="str">
        <f t="shared" si="122"/>
        <v>26-35</v>
      </c>
      <c r="AI1309" t="str">
        <f t="shared" si="123"/>
        <v>2. 3K-6K</v>
      </c>
      <c r="AJ1309" s="1" t="str">
        <f t="shared" si="124"/>
        <v>2. 2-5 yrs</v>
      </c>
      <c r="AK1309" s="1" t="str">
        <f t="shared" si="125"/>
        <v>1. Low</v>
      </c>
      <c r="AL1309" s="1" t="str">
        <f t="shared" si="126"/>
        <v>3. Better</v>
      </c>
    </row>
    <row r="1310" spans="1:38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f t="shared" si="121"/>
        <v>0</v>
      </c>
      <c r="AH1310" t="str">
        <f t="shared" si="122"/>
        <v>36-45</v>
      </c>
      <c r="AI1310" t="str">
        <f t="shared" si="123"/>
        <v>2. 3K-6K</v>
      </c>
      <c r="AJ1310" s="1" t="str">
        <f t="shared" si="124"/>
        <v>2. 2-5 yrs</v>
      </c>
      <c r="AK1310" s="1" t="str">
        <f t="shared" si="125"/>
        <v>4. Very High</v>
      </c>
      <c r="AL1310" s="1" t="str">
        <f t="shared" si="126"/>
        <v>2. Good</v>
      </c>
    </row>
    <row r="1311" spans="1:38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f t="shared" si="121"/>
        <v>0</v>
      </c>
      <c r="AH1311" t="str">
        <f t="shared" si="122"/>
        <v>26-35</v>
      </c>
      <c r="AI1311" t="str">
        <f t="shared" si="123"/>
        <v>2. 3K-6K</v>
      </c>
      <c r="AJ1311" s="1" t="str">
        <f t="shared" si="124"/>
        <v>2. 2-5 yrs</v>
      </c>
      <c r="AK1311" s="1" t="str">
        <f t="shared" si="125"/>
        <v>4. Very High</v>
      </c>
      <c r="AL1311" s="1" t="str">
        <f t="shared" si="126"/>
        <v>3. Better</v>
      </c>
    </row>
    <row r="1312" spans="1:38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f t="shared" si="121"/>
        <v>0</v>
      </c>
      <c r="AH1312" t="str">
        <f t="shared" si="122"/>
        <v>56+</v>
      </c>
      <c r="AI1312" t="str">
        <f t="shared" si="123"/>
        <v>4. 10K+</v>
      </c>
      <c r="AJ1312" s="1" t="str">
        <f t="shared" si="124"/>
        <v>2. 2-5 yrs</v>
      </c>
      <c r="AK1312" s="1" t="str">
        <f t="shared" si="125"/>
        <v>3. High</v>
      </c>
      <c r="AL1312" s="1" t="str">
        <f t="shared" si="126"/>
        <v>3. Better</v>
      </c>
    </row>
    <row r="1313" spans="1:38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f t="shared" si="121"/>
        <v>0</v>
      </c>
      <c r="AH1313" t="str">
        <f t="shared" si="122"/>
        <v>18-25</v>
      </c>
      <c r="AI1313" t="str">
        <f t="shared" si="123"/>
        <v>1. Under 3K</v>
      </c>
      <c r="AJ1313" s="1" t="str">
        <f t="shared" si="124"/>
        <v>1. 0-1 yrs</v>
      </c>
      <c r="AK1313" s="1" t="str">
        <f t="shared" si="125"/>
        <v>3. High</v>
      </c>
      <c r="AL1313" s="1" t="str">
        <f t="shared" si="126"/>
        <v>1. Bad</v>
      </c>
    </row>
    <row r="1314" spans="1:38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f t="shared" si="121"/>
        <v>1</v>
      </c>
      <c r="AH1314" t="str">
        <f t="shared" si="122"/>
        <v>26-35</v>
      </c>
      <c r="AI1314" t="str">
        <f t="shared" si="123"/>
        <v>1. Under 3K</v>
      </c>
      <c r="AJ1314" s="1" t="str">
        <f t="shared" si="124"/>
        <v>1. 0-1 yrs</v>
      </c>
      <c r="AK1314" s="1" t="str">
        <f t="shared" si="125"/>
        <v>1. Low</v>
      </c>
      <c r="AL1314" s="1" t="str">
        <f t="shared" si="126"/>
        <v>3. Better</v>
      </c>
    </row>
    <row r="1315" spans="1:38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f t="shared" si="121"/>
        <v>1</v>
      </c>
      <c r="AH1315" t="str">
        <f t="shared" si="122"/>
        <v>26-35</v>
      </c>
      <c r="AI1315" t="str">
        <f t="shared" si="123"/>
        <v>1. Under 3K</v>
      </c>
      <c r="AJ1315" s="1" t="str">
        <f t="shared" si="124"/>
        <v>2. 2-5 yrs</v>
      </c>
      <c r="AK1315" s="1" t="str">
        <f t="shared" si="125"/>
        <v>1. Low</v>
      </c>
      <c r="AL1315" s="1" t="str">
        <f t="shared" si="126"/>
        <v>3. Better</v>
      </c>
    </row>
    <row r="1316" spans="1:38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f t="shared" si="121"/>
        <v>0</v>
      </c>
      <c r="AH1316" t="str">
        <f t="shared" si="122"/>
        <v>36-45</v>
      </c>
      <c r="AI1316" t="str">
        <f t="shared" si="123"/>
        <v>2. 3K-6K</v>
      </c>
      <c r="AJ1316" s="1" t="str">
        <f t="shared" si="124"/>
        <v>3. 6-10 yrs</v>
      </c>
      <c r="AK1316" s="1" t="str">
        <f t="shared" si="125"/>
        <v>3. High</v>
      </c>
      <c r="AL1316" s="1" t="str">
        <f t="shared" si="126"/>
        <v>4. Best</v>
      </c>
    </row>
    <row r="1317" spans="1:38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f t="shared" si="121"/>
        <v>0</v>
      </c>
      <c r="AH1317" t="str">
        <f t="shared" si="122"/>
        <v>36-45</v>
      </c>
      <c r="AI1317" t="str">
        <f t="shared" si="123"/>
        <v>3. 6K-10K</v>
      </c>
      <c r="AJ1317" s="1" t="str">
        <f t="shared" si="124"/>
        <v>1. 0-1 yrs</v>
      </c>
      <c r="AK1317" s="1" t="str">
        <f t="shared" si="125"/>
        <v>2. Medium</v>
      </c>
      <c r="AL1317" s="1" t="str">
        <f t="shared" si="126"/>
        <v>3. Better</v>
      </c>
    </row>
    <row r="1318" spans="1:38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f t="shared" si="121"/>
        <v>0</v>
      </c>
      <c r="AH1318" t="str">
        <f t="shared" si="122"/>
        <v>36-45</v>
      </c>
      <c r="AI1318" t="str">
        <f t="shared" si="123"/>
        <v>2. 3K-6K</v>
      </c>
      <c r="AJ1318" s="1" t="str">
        <f t="shared" si="124"/>
        <v>3. 6-10 yrs</v>
      </c>
      <c r="AK1318" s="1" t="str">
        <f t="shared" si="125"/>
        <v>4. Very High</v>
      </c>
      <c r="AL1318" s="1" t="str">
        <f t="shared" si="126"/>
        <v>3. Better</v>
      </c>
    </row>
    <row r="1319" spans="1:38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f t="shared" si="121"/>
        <v>0</v>
      </c>
      <c r="AH1319" t="str">
        <f t="shared" si="122"/>
        <v>26-35</v>
      </c>
      <c r="AI1319" t="str">
        <f t="shared" si="123"/>
        <v>1. Under 3K</v>
      </c>
      <c r="AJ1319" s="1" t="str">
        <f t="shared" si="124"/>
        <v>2. 2-5 yrs</v>
      </c>
      <c r="AK1319" s="1" t="str">
        <f t="shared" si="125"/>
        <v>4. Very High</v>
      </c>
      <c r="AL1319" s="1" t="str">
        <f t="shared" si="126"/>
        <v>2. Good</v>
      </c>
    </row>
    <row r="1320" spans="1:38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f t="shared" si="121"/>
        <v>0</v>
      </c>
      <c r="AH1320" t="str">
        <f t="shared" si="122"/>
        <v>26-35</v>
      </c>
      <c r="AI1320" t="str">
        <f t="shared" si="123"/>
        <v>2. 3K-6K</v>
      </c>
      <c r="AJ1320" s="1" t="str">
        <f t="shared" si="124"/>
        <v>4. 10+ yrs</v>
      </c>
      <c r="AK1320" s="1" t="str">
        <f t="shared" si="125"/>
        <v>4. Very High</v>
      </c>
      <c r="AL1320" s="1" t="str">
        <f t="shared" si="126"/>
        <v>4. Best</v>
      </c>
    </row>
    <row r="1321" spans="1:38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f t="shared" si="121"/>
        <v>0</v>
      </c>
      <c r="AH1321" t="str">
        <f t="shared" si="122"/>
        <v>26-35</v>
      </c>
      <c r="AI1321" t="str">
        <f t="shared" si="123"/>
        <v>2. 3K-6K</v>
      </c>
      <c r="AJ1321" s="1" t="str">
        <f t="shared" si="124"/>
        <v>1. 0-1 yrs</v>
      </c>
      <c r="AK1321" s="1" t="str">
        <f t="shared" si="125"/>
        <v>4. Very High</v>
      </c>
      <c r="AL1321" s="1" t="str">
        <f t="shared" si="126"/>
        <v>4. Best</v>
      </c>
    </row>
    <row r="1322" spans="1:38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f t="shared" si="121"/>
        <v>0</v>
      </c>
      <c r="AH1322" t="str">
        <f t="shared" si="122"/>
        <v>36-45</v>
      </c>
      <c r="AI1322" t="str">
        <f t="shared" si="123"/>
        <v>1. Under 3K</v>
      </c>
      <c r="AJ1322" s="1" t="str">
        <f t="shared" si="124"/>
        <v>3. 6-10 yrs</v>
      </c>
      <c r="AK1322" s="1" t="str">
        <f t="shared" si="125"/>
        <v>3. High</v>
      </c>
      <c r="AL1322" s="1" t="str">
        <f t="shared" si="126"/>
        <v>2. Good</v>
      </c>
    </row>
    <row r="1323" spans="1:38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f t="shared" si="121"/>
        <v>0</v>
      </c>
      <c r="AH1323" t="str">
        <f t="shared" si="122"/>
        <v>46-55</v>
      </c>
      <c r="AI1323" t="str">
        <f t="shared" si="123"/>
        <v>1. Under 3K</v>
      </c>
      <c r="AJ1323" s="1" t="str">
        <f t="shared" si="124"/>
        <v>2. 2-5 yrs</v>
      </c>
      <c r="AK1323" s="1" t="str">
        <f t="shared" si="125"/>
        <v>3. High</v>
      </c>
      <c r="AL1323" s="1" t="str">
        <f t="shared" si="126"/>
        <v>3. Better</v>
      </c>
    </row>
    <row r="1324" spans="1:38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f t="shared" si="121"/>
        <v>0</v>
      </c>
      <c r="AH1324" t="str">
        <f t="shared" si="122"/>
        <v>46-55</v>
      </c>
      <c r="AI1324" t="str">
        <f t="shared" si="123"/>
        <v>3. 6K-10K</v>
      </c>
      <c r="AJ1324" s="1" t="str">
        <f t="shared" si="124"/>
        <v>3. 6-10 yrs</v>
      </c>
      <c r="AK1324" s="1" t="str">
        <f t="shared" si="125"/>
        <v>4. Very High</v>
      </c>
      <c r="AL1324" s="1" t="str">
        <f t="shared" si="126"/>
        <v>2. Good</v>
      </c>
    </row>
    <row r="1325" spans="1:38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f t="shared" si="121"/>
        <v>0</v>
      </c>
      <c r="AH1325" t="str">
        <f t="shared" si="122"/>
        <v>26-35</v>
      </c>
      <c r="AI1325" t="str">
        <f t="shared" si="123"/>
        <v>1. Under 3K</v>
      </c>
      <c r="AJ1325" s="1" t="str">
        <f t="shared" si="124"/>
        <v>2. 2-5 yrs</v>
      </c>
      <c r="AK1325" s="1" t="str">
        <f t="shared" si="125"/>
        <v>4. Very High</v>
      </c>
      <c r="AL1325" s="1" t="str">
        <f t="shared" si="126"/>
        <v>3. Better</v>
      </c>
    </row>
    <row r="1326" spans="1:38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f t="shared" si="121"/>
        <v>0</v>
      </c>
      <c r="AH1326" t="str">
        <f t="shared" si="122"/>
        <v>26-35</v>
      </c>
      <c r="AI1326" t="str">
        <f t="shared" si="123"/>
        <v>3. 6K-10K</v>
      </c>
      <c r="AJ1326" s="1" t="str">
        <f t="shared" si="124"/>
        <v>3. 6-10 yrs</v>
      </c>
      <c r="AK1326" s="1" t="str">
        <f t="shared" si="125"/>
        <v>3. High</v>
      </c>
      <c r="AL1326" s="1" t="str">
        <f t="shared" si="126"/>
        <v>3. Better</v>
      </c>
    </row>
    <row r="1327" spans="1:38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f t="shared" si="121"/>
        <v>0</v>
      </c>
      <c r="AH1327" t="str">
        <f t="shared" si="122"/>
        <v>36-45</v>
      </c>
      <c r="AI1327" t="str">
        <f t="shared" si="123"/>
        <v>2. 3K-6K</v>
      </c>
      <c r="AJ1327" s="1" t="str">
        <f t="shared" si="124"/>
        <v>1. 0-1 yrs</v>
      </c>
      <c r="AK1327" s="1" t="str">
        <f t="shared" si="125"/>
        <v>3. High</v>
      </c>
      <c r="AL1327" s="1" t="str">
        <f t="shared" si="126"/>
        <v>3. Better</v>
      </c>
    </row>
    <row r="1328" spans="1:38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f t="shared" si="121"/>
        <v>1</v>
      </c>
      <c r="AH1328" t="str">
        <f t="shared" si="122"/>
        <v>26-35</v>
      </c>
      <c r="AI1328" t="str">
        <f t="shared" si="123"/>
        <v>3. 6K-10K</v>
      </c>
      <c r="AJ1328" s="1" t="str">
        <f t="shared" si="124"/>
        <v>2. 2-5 yrs</v>
      </c>
      <c r="AK1328" s="1" t="str">
        <f t="shared" si="125"/>
        <v>2. Medium</v>
      </c>
      <c r="AL1328" s="1" t="str">
        <f t="shared" si="126"/>
        <v>2. Good</v>
      </c>
    </row>
    <row r="1329" spans="1:38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f t="shared" si="121"/>
        <v>0</v>
      </c>
      <c r="AH1329" t="str">
        <f t="shared" si="122"/>
        <v>46-55</v>
      </c>
      <c r="AI1329" t="str">
        <f t="shared" si="123"/>
        <v>4. 10K+</v>
      </c>
      <c r="AJ1329" s="1" t="str">
        <f t="shared" si="124"/>
        <v>4. 10+ yrs</v>
      </c>
      <c r="AK1329" s="1" t="str">
        <f t="shared" si="125"/>
        <v>1. Low</v>
      </c>
      <c r="AL1329" s="1" t="str">
        <f t="shared" si="126"/>
        <v>3. Better</v>
      </c>
    </row>
    <row r="1330" spans="1:38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f t="shared" si="121"/>
        <v>0</v>
      </c>
      <c r="AH1330" t="str">
        <f t="shared" si="122"/>
        <v>26-35</v>
      </c>
      <c r="AI1330" t="str">
        <f t="shared" si="123"/>
        <v>2. 3K-6K</v>
      </c>
      <c r="AJ1330" s="1" t="str">
        <f t="shared" si="124"/>
        <v>3. 6-10 yrs</v>
      </c>
      <c r="AK1330" s="1" t="str">
        <f t="shared" si="125"/>
        <v>3. High</v>
      </c>
      <c r="AL1330" s="1" t="str">
        <f t="shared" si="126"/>
        <v>3. Better</v>
      </c>
    </row>
    <row r="1331" spans="1:38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f t="shared" si="121"/>
        <v>0</v>
      </c>
      <c r="AH1331" t="str">
        <f t="shared" si="122"/>
        <v>26-35</v>
      </c>
      <c r="AI1331" t="str">
        <f t="shared" si="123"/>
        <v>1. Under 3K</v>
      </c>
      <c r="AJ1331" s="1" t="str">
        <f t="shared" si="124"/>
        <v>1. 0-1 yrs</v>
      </c>
      <c r="AK1331" s="1" t="str">
        <f t="shared" si="125"/>
        <v>2. Medium</v>
      </c>
      <c r="AL1331" s="1" t="str">
        <f t="shared" si="126"/>
        <v>3. Better</v>
      </c>
    </row>
    <row r="1332" spans="1:38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f t="shared" si="121"/>
        <v>0</v>
      </c>
      <c r="AH1332" t="str">
        <f t="shared" si="122"/>
        <v>36-45</v>
      </c>
      <c r="AI1332" t="str">
        <f t="shared" si="123"/>
        <v>4. 10K+</v>
      </c>
      <c r="AJ1332" s="1" t="str">
        <f t="shared" si="124"/>
        <v>4. 10+ yrs</v>
      </c>
      <c r="AK1332" s="1" t="str">
        <f t="shared" si="125"/>
        <v>3. High</v>
      </c>
      <c r="AL1332" s="1" t="str">
        <f t="shared" si="126"/>
        <v>3. Better</v>
      </c>
    </row>
    <row r="1333" spans="1:38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f t="shared" si="121"/>
        <v>0</v>
      </c>
      <c r="AH1333" t="str">
        <f t="shared" si="122"/>
        <v>46-55</v>
      </c>
      <c r="AI1333" t="str">
        <f t="shared" si="123"/>
        <v>4. 10K+</v>
      </c>
      <c r="AJ1333" s="1" t="str">
        <f t="shared" si="124"/>
        <v>4. 10+ yrs</v>
      </c>
      <c r="AK1333" s="1" t="str">
        <f t="shared" si="125"/>
        <v>2. Medium</v>
      </c>
      <c r="AL1333" s="1" t="str">
        <f t="shared" si="126"/>
        <v>3. Better</v>
      </c>
    </row>
    <row r="1334" spans="1:38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f t="shared" si="121"/>
        <v>1</v>
      </c>
      <c r="AH1334" t="str">
        <f t="shared" si="122"/>
        <v>26-35</v>
      </c>
      <c r="AI1334" t="str">
        <f t="shared" si="123"/>
        <v>1. Under 3K</v>
      </c>
      <c r="AJ1334" s="1" t="str">
        <f t="shared" si="124"/>
        <v>1. 0-1 yrs</v>
      </c>
      <c r="AK1334" s="1" t="str">
        <f t="shared" si="125"/>
        <v>4. Very High</v>
      </c>
      <c r="AL1334" s="1" t="str">
        <f t="shared" si="126"/>
        <v>2. Good</v>
      </c>
    </row>
    <row r="1335" spans="1:38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f t="shared" si="121"/>
        <v>1</v>
      </c>
      <c r="AH1335" t="str">
        <f t="shared" si="122"/>
        <v>46-55</v>
      </c>
      <c r="AI1335" t="str">
        <f t="shared" si="123"/>
        <v>3. 6K-10K</v>
      </c>
      <c r="AJ1335" s="1" t="str">
        <f t="shared" si="124"/>
        <v>3. 6-10 yrs</v>
      </c>
      <c r="AK1335" s="1" t="str">
        <f t="shared" si="125"/>
        <v>2. Medium</v>
      </c>
      <c r="AL1335" s="1" t="str">
        <f t="shared" si="126"/>
        <v>3. Better</v>
      </c>
    </row>
    <row r="1336" spans="1:38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f t="shared" si="121"/>
        <v>0</v>
      </c>
      <c r="AH1336" t="str">
        <f t="shared" si="122"/>
        <v>26-35</v>
      </c>
      <c r="AI1336" t="str">
        <f t="shared" si="123"/>
        <v>2. 3K-6K</v>
      </c>
      <c r="AJ1336" s="1" t="str">
        <f t="shared" si="124"/>
        <v>3. 6-10 yrs</v>
      </c>
      <c r="AK1336" s="1" t="str">
        <f t="shared" si="125"/>
        <v>1. Low</v>
      </c>
      <c r="AL1336" s="1" t="str">
        <f t="shared" si="126"/>
        <v>2. Good</v>
      </c>
    </row>
    <row r="1337" spans="1:38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f t="shared" si="121"/>
        <v>0</v>
      </c>
      <c r="AH1337" t="str">
        <f t="shared" si="122"/>
        <v>36-45</v>
      </c>
      <c r="AI1337" t="str">
        <f t="shared" si="123"/>
        <v>2. 3K-6K</v>
      </c>
      <c r="AJ1337" s="1" t="str">
        <f t="shared" si="124"/>
        <v>2. 2-5 yrs</v>
      </c>
      <c r="AK1337" s="1" t="str">
        <f t="shared" si="125"/>
        <v>4. Very High</v>
      </c>
      <c r="AL1337" s="1" t="str">
        <f t="shared" si="126"/>
        <v>3. Better</v>
      </c>
    </row>
    <row r="1338" spans="1:38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f t="shared" si="121"/>
        <v>0</v>
      </c>
      <c r="AH1338" t="str">
        <f t="shared" si="122"/>
        <v>46-55</v>
      </c>
      <c r="AI1338" t="str">
        <f t="shared" si="123"/>
        <v>1. Under 3K</v>
      </c>
      <c r="AJ1338" s="1" t="str">
        <f t="shared" si="124"/>
        <v>2. 2-5 yrs</v>
      </c>
      <c r="AK1338" s="1" t="str">
        <f t="shared" si="125"/>
        <v>4. Very High</v>
      </c>
      <c r="AL1338" s="1" t="str">
        <f t="shared" si="126"/>
        <v>4. Best</v>
      </c>
    </row>
    <row r="1339" spans="1:38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f t="shared" si="121"/>
        <v>0</v>
      </c>
      <c r="AH1339" t="str">
        <f t="shared" si="122"/>
        <v>26-35</v>
      </c>
      <c r="AI1339" t="str">
        <f t="shared" si="123"/>
        <v>1. Under 3K</v>
      </c>
      <c r="AJ1339" s="1" t="str">
        <f t="shared" si="124"/>
        <v>1. 0-1 yrs</v>
      </c>
      <c r="AK1339" s="1" t="str">
        <f t="shared" si="125"/>
        <v>2. Medium</v>
      </c>
      <c r="AL1339" s="1" t="str">
        <f t="shared" si="126"/>
        <v>3. Better</v>
      </c>
    </row>
    <row r="1340" spans="1:38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f t="shared" si="121"/>
        <v>1</v>
      </c>
      <c r="AH1340" t="str">
        <f t="shared" si="122"/>
        <v>26-35</v>
      </c>
      <c r="AI1340" t="str">
        <f t="shared" si="123"/>
        <v>1. Under 3K</v>
      </c>
      <c r="AJ1340" s="1" t="str">
        <f t="shared" si="124"/>
        <v>1. 0-1 yrs</v>
      </c>
      <c r="AK1340" s="1" t="str">
        <f t="shared" si="125"/>
        <v>4. Very High</v>
      </c>
      <c r="AL1340" s="1" t="str">
        <f t="shared" si="126"/>
        <v>2. Good</v>
      </c>
    </row>
    <row r="1341" spans="1:38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f t="shared" si="121"/>
        <v>1</v>
      </c>
      <c r="AH1341" t="str">
        <f t="shared" si="122"/>
        <v>18-25</v>
      </c>
      <c r="AI1341" t="str">
        <f t="shared" si="123"/>
        <v>1. Under 3K</v>
      </c>
      <c r="AJ1341" s="1" t="str">
        <f t="shared" si="124"/>
        <v>1. 0-1 yrs</v>
      </c>
      <c r="AK1341" s="1" t="str">
        <f t="shared" si="125"/>
        <v>2. Medium</v>
      </c>
      <c r="AL1341" s="1" t="str">
        <f t="shared" si="126"/>
        <v>3. Better</v>
      </c>
    </row>
    <row r="1342" spans="1:38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f t="shared" si="121"/>
        <v>0</v>
      </c>
      <c r="AH1342" t="str">
        <f t="shared" si="122"/>
        <v>36-45</v>
      </c>
      <c r="AI1342" t="str">
        <f t="shared" si="123"/>
        <v>2. 3K-6K</v>
      </c>
      <c r="AJ1342" s="1" t="str">
        <f t="shared" si="124"/>
        <v>3. 6-10 yrs</v>
      </c>
      <c r="AK1342" s="1" t="str">
        <f t="shared" si="125"/>
        <v>3. High</v>
      </c>
      <c r="AL1342" s="1" t="str">
        <f t="shared" si="126"/>
        <v>3. Better</v>
      </c>
    </row>
    <row r="1343" spans="1:38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f t="shared" si="121"/>
        <v>0</v>
      </c>
      <c r="AH1343" t="str">
        <f t="shared" si="122"/>
        <v>26-35</v>
      </c>
      <c r="AI1343" t="str">
        <f t="shared" si="123"/>
        <v>2. 3K-6K</v>
      </c>
      <c r="AJ1343" s="1" t="str">
        <f t="shared" si="124"/>
        <v>3. 6-10 yrs</v>
      </c>
      <c r="AK1343" s="1" t="str">
        <f t="shared" si="125"/>
        <v>3. High</v>
      </c>
      <c r="AL1343" s="1" t="str">
        <f t="shared" si="126"/>
        <v>3. Better</v>
      </c>
    </row>
    <row r="1344" spans="1:38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f t="shared" si="121"/>
        <v>0</v>
      </c>
      <c r="AH1344" t="str">
        <f t="shared" si="122"/>
        <v>26-35</v>
      </c>
      <c r="AI1344" t="str">
        <f t="shared" si="123"/>
        <v>3. 6K-10K</v>
      </c>
      <c r="AJ1344" s="1" t="str">
        <f t="shared" si="124"/>
        <v>2. 2-5 yrs</v>
      </c>
      <c r="AK1344" s="1" t="str">
        <f t="shared" si="125"/>
        <v>4. Very High</v>
      </c>
      <c r="AL1344" s="1" t="str">
        <f t="shared" si="126"/>
        <v>3. Better</v>
      </c>
    </row>
    <row r="1345" spans="1:38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f t="shared" si="121"/>
        <v>0</v>
      </c>
      <c r="AH1345" t="str">
        <f t="shared" si="122"/>
        <v>26-35</v>
      </c>
      <c r="AI1345" t="str">
        <f t="shared" si="123"/>
        <v>1. Under 3K</v>
      </c>
      <c r="AJ1345" s="1" t="str">
        <f t="shared" si="124"/>
        <v>2. 2-5 yrs</v>
      </c>
      <c r="AK1345" s="1" t="str">
        <f t="shared" si="125"/>
        <v>1. Low</v>
      </c>
      <c r="AL1345" s="1" t="str">
        <f t="shared" si="126"/>
        <v>3. Better</v>
      </c>
    </row>
    <row r="1346" spans="1:38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f t="shared" ref="AG1346:AG1409" si="127">IF(B1346="Yes",1,0)</f>
        <v>0</v>
      </c>
      <c r="AH1346" t="str">
        <f t="shared" ref="AH1346:AH1409" si="128">IF(A1346&lt;26,"18-25",IF(A1346&lt;36,"26-35",IF(A1346&lt;46,"36-45",IF(A1346&lt;56,"46-55","56+"))))</f>
        <v>36-45</v>
      </c>
      <c r="AI1346" t="str">
        <f t="shared" ref="AI1346:AI1409" si="129">IF(R1346&lt;3000,"1. Under 3K",IF(R1346&lt;6000,"2. 3K-6K",IF(R1346&lt;10000,"3. 6K-10K","4. 10K+")))</f>
        <v>2. 3K-6K</v>
      </c>
      <c r="AJ1346" s="1" t="str">
        <f t="shared" ref="AJ1346:AJ1409" si="130">IF(AC1346&lt;2,"1. 0-1 yrs",IF(AC1346&lt;6,"2. 2-5 yrs",IF(AC1346&lt;11,"3. 6-10 yrs","4. 10+ yrs")))</f>
        <v>2. 2-5 yrs</v>
      </c>
      <c r="AK1346" s="1" t="str">
        <f t="shared" ref="AK1346:AK1409" si="131">CHOOSE(P1346,"1. Low","2. Medium","3. High","4. Very High")</f>
        <v>1. Low</v>
      </c>
      <c r="AL1346" s="1" t="str">
        <f t="shared" ref="AL1346:AL1409" si="132">CHOOSE(AB1346,"1. Bad","2. Good","3. Better","4. Best")</f>
        <v>3. Better</v>
      </c>
    </row>
    <row r="1347" spans="1:38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f t="shared" si="127"/>
        <v>0</v>
      </c>
      <c r="AH1347" t="str">
        <f t="shared" si="128"/>
        <v>26-35</v>
      </c>
      <c r="AI1347" t="str">
        <f t="shared" si="129"/>
        <v>2. 3K-6K</v>
      </c>
      <c r="AJ1347" s="1" t="str">
        <f t="shared" si="130"/>
        <v>2. 2-5 yrs</v>
      </c>
      <c r="AK1347" s="1" t="str">
        <f t="shared" si="131"/>
        <v>2. Medium</v>
      </c>
      <c r="AL1347" s="1" t="str">
        <f t="shared" si="132"/>
        <v>3. Better</v>
      </c>
    </row>
    <row r="1348" spans="1:38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f t="shared" si="127"/>
        <v>0</v>
      </c>
      <c r="AH1348" t="str">
        <f t="shared" si="128"/>
        <v>36-45</v>
      </c>
      <c r="AI1348" t="str">
        <f t="shared" si="129"/>
        <v>2. 3K-6K</v>
      </c>
      <c r="AJ1348" s="1" t="str">
        <f t="shared" si="130"/>
        <v>3. 6-10 yrs</v>
      </c>
      <c r="AK1348" s="1" t="str">
        <f t="shared" si="131"/>
        <v>4. Very High</v>
      </c>
      <c r="AL1348" s="1" t="str">
        <f t="shared" si="132"/>
        <v>2. Good</v>
      </c>
    </row>
    <row r="1349" spans="1:38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f t="shared" si="127"/>
        <v>0</v>
      </c>
      <c r="AH1349" t="str">
        <f t="shared" si="128"/>
        <v>36-45</v>
      </c>
      <c r="AI1349" t="str">
        <f t="shared" si="129"/>
        <v>2. 3K-6K</v>
      </c>
      <c r="AJ1349" s="1" t="str">
        <f t="shared" si="130"/>
        <v>3. 6-10 yrs</v>
      </c>
      <c r="AK1349" s="1" t="str">
        <f t="shared" si="131"/>
        <v>4. Very High</v>
      </c>
      <c r="AL1349" s="1" t="str">
        <f t="shared" si="132"/>
        <v>2. Good</v>
      </c>
    </row>
    <row r="1350" spans="1:38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f t="shared" si="127"/>
        <v>0</v>
      </c>
      <c r="AH1350" t="str">
        <f t="shared" si="128"/>
        <v>36-45</v>
      </c>
      <c r="AI1350" t="str">
        <f t="shared" si="129"/>
        <v>4. 10K+</v>
      </c>
      <c r="AJ1350" s="1" t="str">
        <f t="shared" si="130"/>
        <v>4. 10+ yrs</v>
      </c>
      <c r="AK1350" s="1" t="str">
        <f t="shared" si="131"/>
        <v>1. Low</v>
      </c>
      <c r="AL1350" s="1" t="str">
        <f t="shared" si="132"/>
        <v>3. Better</v>
      </c>
    </row>
    <row r="1351" spans="1:38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f t="shared" si="127"/>
        <v>0</v>
      </c>
      <c r="AH1351" t="str">
        <f t="shared" si="128"/>
        <v>26-35</v>
      </c>
      <c r="AI1351" t="str">
        <f t="shared" si="129"/>
        <v>1. Under 3K</v>
      </c>
      <c r="AJ1351" s="1" t="str">
        <f t="shared" si="130"/>
        <v>1. 0-1 yrs</v>
      </c>
      <c r="AK1351" s="1" t="str">
        <f t="shared" si="131"/>
        <v>3. High</v>
      </c>
      <c r="AL1351" s="1" t="str">
        <f t="shared" si="132"/>
        <v>2. Good</v>
      </c>
    </row>
    <row r="1352" spans="1:38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f t="shared" si="127"/>
        <v>0</v>
      </c>
      <c r="AH1352" t="str">
        <f t="shared" si="128"/>
        <v>26-35</v>
      </c>
      <c r="AI1352" t="str">
        <f t="shared" si="129"/>
        <v>3. 6K-10K</v>
      </c>
      <c r="AJ1352" s="1" t="str">
        <f t="shared" si="130"/>
        <v>3. 6-10 yrs</v>
      </c>
      <c r="AK1352" s="1" t="str">
        <f t="shared" si="131"/>
        <v>3. High</v>
      </c>
      <c r="AL1352" s="1" t="str">
        <f t="shared" si="132"/>
        <v>2. Good</v>
      </c>
    </row>
    <row r="1353" spans="1:38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f t="shared" si="127"/>
        <v>0</v>
      </c>
      <c r="AH1353" t="str">
        <f t="shared" si="128"/>
        <v>46-55</v>
      </c>
      <c r="AI1353" t="str">
        <f t="shared" si="129"/>
        <v>4. 10K+</v>
      </c>
      <c r="AJ1353" s="1" t="str">
        <f t="shared" si="130"/>
        <v>4. 10+ yrs</v>
      </c>
      <c r="AK1353" s="1" t="str">
        <f t="shared" si="131"/>
        <v>4. Very High</v>
      </c>
      <c r="AL1353" s="1" t="str">
        <f t="shared" si="132"/>
        <v>3. Better</v>
      </c>
    </row>
    <row r="1354" spans="1:38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f t="shared" si="127"/>
        <v>0</v>
      </c>
      <c r="AH1354" t="str">
        <f t="shared" si="128"/>
        <v>36-45</v>
      </c>
      <c r="AI1354" t="str">
        <f t="shared" si="129"/>
        <v>2. 3K-6K</v>
      </c>
      <c r="AJ1354" s="1" t="str">
        <f t="shared" si="130"/>
        <v>2. 2-5 yrs</v>
      </c>
      <c r="AK1354" s="1" t="str">
        <f t="shared" si="131"/>
        <v>1. Low</v>
      </c>
      <c r="AL1354" s="1" t="str">
        <f t="shared" si="132"/>
        <v>3. Better</v>
      </c>
    </row>
    <row r="1355" spans="1:38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f t="shared" si="127"/>
        <v>1</v>
      </c>
      <c r="AH1355" t="str">
        <f t="shared" si="128"/>
        <v>26-35</v>
      </c>
      <c r="AI1355" t="str">
        <f t="shared" si="129"/>
        <v>1. Under 3K</v>
      </c>
      <c r="AJ1355" s="1" t="str">
        <f t="shared" si="130"/>
        <v>2. 2-5 yrs</v>
      </c>
      <c r="AK1355" s="1" t="str">
        <f t="shared" si="131"/>
        <v>1. Low</v>
      </c>
      <c r="AL1355" s="1" t="str">
        <f t="shared" si="132"/>
        <v>3. Better</v>
      </c>
    </row>
    <row r="1356" spans="1:38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f t="shared" si="127"/>
        <v>1</v>
      </c>
      <c r="AH1356" t="str">
        <f t="shared" si="128"/>
        <v>56+</v>
      </c>
      <c r="AI1356" t="str">
        <f t="shared" si="129"/>
        <v>1. Under 3K</v>
      </c>
      <c r="AJ1356" s="1" t="str">
        <f t="shared" si="130"/>
        <v>2. 2-5 yrs</v>
      </c>
      <c r="AK1356" s="1" t="str">
        <f t="shared" si="131"/>
        <v>4. Very High</v>
      </c>
      <c r="AL1356" s="1" t="str">
        <f t="shared" si="132"/>
        <v>3. Better</v>
      </c>
    </row>
    <row r="1357" spans="1:38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f t="shared" si="127"/>
        <v>0</v>
      </c>
      <c r="AH1357" t="str">
        <f t="shared" si="128"/>
        <v>36-45</v>
      </c>
      <c r="AI1357" t="str">
        <f t="shared" si="129"/>
        <v>2. 3K-6K</v>
      </c>
      <c r="AJ1357" s="1" t="str">
        <f t="shared" si="130"/>
        <v>2. 2-5 yrs</v>
      </c>
      <c r="AK1357" s="1" t="str">
        <f t="shared" si="131"/>
        <v>2. Medium</v>
      </c>
      <c r="AL1357" s="1" t="str">
        <f t="shared" si="132"/>
        <v>1. Bad</v>
      </c>
    </row>
    <row r="1358" spans="1:38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f t="shared" si="127"/>
        <v>0</v>
      </c>
      <c r="AH1358" t="str">
        <f t="shared" si="128"/>
        <v>36-45</v>
      </c>
      <c r="AI1358" t="str">
        <f t="shared" si="129"/>
        <v>2. 3K-6K</v>
      </c>
      <c r="AJ1358" s="1" t="str">
        <f t="shared" si="130"/>
        <v>2. 2-5 yrs</v>
      </c>
      <c r="AK1358" s="1" t="str">
        <f t="shared" si="131"/>
        <v>2. Medium</v>
      </c>
      <c r="AL1358" s="1" t="str">
        <f t="shared" si="132"/>
        <v>3. Better</v>
      </c>
    </row>
    <row r="1359" spans="1:38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f t="shared" si="127"/>
        <v>0</v>
      </c>
      <c r="AH1359" t="str">
        <f t="shared" si="128"/>
        <v>36-45</v>
      </c>
      <c r="AI1359" t="str">
        <f t="shared" si="129"/>
        <v>4. 10K+</v>
      </c>
      <c r="AJ1359" s="1" t="str">
        <f t="shared" si="130"/>
        <v>4. 10+ yrs</v>
      </c>
      <c r="AK1359" s="1" t="str">
        <f t="shared" si="131"/>
        <v>1. Low</v>
      </c>
      <c r="AL1359" s="1" t="str">
        <f t="shared" si="132"/>
        <v>4. Best</v>
      </c>
    </row>
    <row r="1360" spans="1:38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f t="shared" si="127"/>
        <v>0</v>
      </c>
      <c r="AH1360" t="str">
        <f t="shared" si="128"/>
        <v>26-35</v>
      </c>
      <c r="AI1360" t="str">
        <f t="shared" si="129"/>
        <v>3. 6K-10K</v>
      </c>
      <c r="AJ1360" s="1" t="str">
        <f t="shared" si="130"/>
        <v>2. 2-5 yrs</v>
      </c>
      <c r="AK1360" s="1" t="str">
        <f t="shared" si="131"/>
        <v>4. Very High</v>
      </c>
      <c r="AL1360" s="1" t="str">
        <f t="shared" si="132"/>
        <v>3. Better</v>
      </c>
    </row>
    <row r="1361" spans="1:38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f t="shared" si="127"/>
        <v>0</v>
      </c>
      <c r="AH1361" t="str">
        <f t="shared" si="128"/>
        <v>26-35</v>
      </c>
      <c r="AI1361" t="str">
        <f t="shared" si="129"/>
        <v>3. 6K-10K</v>
      </c>
      <c r="AJ1361" s="1" t="str">
        <f t="shared" si="130"/>
        <v>2. 2-5 yrs</v>
      </c>
      <c r="AK1361" s="1" t="str">
        <f t="shared" si="131"/>
        <v>4. Very High</v>
      </c>
      <c r="AL1361" s="1" t="str">
        <f t="shared" si="132"/>
        <v>2. Good</v>
      </c>
    </row>
    <row r="1362" spans="1:38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f t="shared" si="127"/>
        <v>0</v>
      </c>
      <c r="AH1362" t="str">
        <f t="shared" si="128"/>
        <v>26-35</v>
      </c>
      <c r="AI1362" t="str">
        <f t="shared" si="129"/>
        <v>2. 3K-6K</v>
      </c>
      <c r="AJ1362" s="1" t="str">
        <f t="shared" si="130"/>
        <v>2. 2-5 yrs</v>
      </c>
      <c r="AK1362" s="1" t="str">
        <f t="shared" si="131"/>
        <v>3. High</v>
      </c>
      <c r="AL1362" s="1" t="str">
        <f t="shared" si="132"/>
        <v>2. Good</v>
      </c>
    </row>
    <row r="1363" spans="1:38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f t="shared" si="127"/>
        <v>0</v>
      </c>
      <c r="AH1363" t="str">
        <f t="shared" si="128"/>
        <v>26-35</v>
      </c>
      <c r="AI1363" t="str">
        <f t="shared" si="129"/>
        <v>1. Under 3K</v>
      </c>
      <c r="AJ1363" s="1" t="str">
        <f t="shared" si="130"/>
        <v>3. 6-10 yrs</v>
      </c>
      <c r="AK1363" s="1" t="str">
        <f t="shared" si="131"/>
        <v>4. Very High</v>
      </c>
      <c r="AL1363" s="1" t="str">
        <f t="shared" si="132"/>
        <v>3. Better</v>
      </c>
    </row>
    <row r="1364" spans="1:38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f t="shared" si="127"/>
        <v>0</v>
      </c>
      <c r="AH1364" t="str">
        <f t="shared" si="128"/>
        <v>36-45</v>
      </c>
      <c r="AI1364" t="str">
        <f t="shared" si="129"/>
        <v>2. 3K-6K</v>
      </c>
      <c r="AJ1364" s="1" t="str">
        <f t="shared" si="130"/>
        <v>2. 2-5 yrs</v>
      </c>
      <c r="AK1364" s="1" t="str">
        <f t="shared" si="131"/>
        <v>3. High</v>
      </c>
      <c r="AL1364" s="1" t="str">
        <f t="shared" si="132"/>
        <v>3. Better</v>
      </c>
    </row>
    <row r="1365" spans="1:38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f t="shared" si="127"/>
        <v>0</v>
      </c>
      <c r="AH1365" t="str">
        <f t="shared" si="128"/>
        <v>26-35</v>
      </c>
      <c r="AI1365" t="str">
        <f t="shared" si="129"/>
        <v>2. 3K-6K</v>
      </c>
      <c r="AJ1365" s="1" t="str">
        <f t="shared" si="130"/>
        <v>3. 6-10 yrs</v>
      </c>
      <c r="AK1365" s="1" t="str">
        <f t="shared" si="131"/>
        <v>3. High</v>
      </c>
      <c r="AL1365" s="1" t="str">
        <f t="shared" si="132"/>
        <v>2. Good</v>
      </c>
    </row>
    <row r="1366" spans="1:38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f t="shared" si="127"/>
        <v>0</v>
      </c>
      <c r="AH1366" t="str">
        <f t="shared" si="128"/>
        <v>26-35</v>
      </c>
      <c r="AI1366" t="str">
        <f t="shared" si="129"/>
        <v>3. 6K-10K</v>
      </c>
      <c r="AJ1366" s="1" t="str">
        <f t="shared" si="130"/>
        <v>3. 6-10 yrs</v>
      </c>
      <c r="AK1366" s="1" t="str">
        <f t="shared" si="131"/>
        <v>4. Very High</v>
      </c>
      <c r="AL1366" s="1" t="str">
        <f t="shared" si="132"/>
        <v>3. Better</v>
      </c>
    </row>
    <row r="1367" spans="1:38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f t="shared" si="127"/>
        <v>1</v>
      </c>
      <c r="AH1367" t="str">
        <f t="shared" si="128"/>
        <v>26-35</v>
      </c>
      <c r="AI1367" t="str">
        <f t="shared" si="129"/>
        <v>1. Under 3K</v>
      </c>
      <c r="AJ1367" s="1" t="str">
        <f t="shared" si="130"/>
        <v>1. 0-1 yrs</v>
      </c>
      <c r="AK1367" s="1" t="str">
        <f t="shared" si="131"/>
        <v>1. Low</v>
      </c>
      <c r="AL1367" s="1" t="str">
        <f t="shared" si="132"/>
        <v>3. Better</v>
      </c>
    </row>
    <row r="1368" spans="1:38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f t="shared" si="127"/>
        <v>0</v>
      </c>
      <c r="AH1368" t="str">
        <f t="shared" si="128"/>
        <v>36-45</v>
      </c>
      <c r="AI1368" t="str">
        <f t="shared" si="129"/>
        <v>2. 3K-6K</v>
      </c>
      <c r="AJ1368" s="1" t="str">
        <f t="shared" si="130"/>
        <v>2. 2-5 yrs</v>
      </c>
      <c r="AK1368" s="1" t="str">
        <f t="shared" si="131"/>
        <v>3. High</v>
      </c>
      <c r="AL1368" s="1" t="str">
        <f t="shared" si="132"/>
        <v>3. Better</v>
      </c>
    </row>
    <row r="1369" spans="1:38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f t="shared" si="127"/>
        <v>0</v>
      </c>
      <c r="AH1369" t="str">
        <f t="shared" si="128"/>
        <v>26-35</v>
      </c>
      <c r="AI1369" t="str">
        <f t="shared" si="129"/>
        <v>1. Under 3K</v>
      </c>
      <c r="AJ1369" s="1" t="str">
        <f t="shared" si="130"/>
        <v>2. 2-5 yrs</v>
      </c>
      <c r="AK1369" s="1" t="str">
        <f t="shared" si="131"/>
        <v>2. Medium</v>
      </c>
      <c r="AL1369" s="1" t="str">
        <f t="shared" si="132"/>
        <v>2. Good</v>
      </c>
    </row>
    <row r="1370" spans="1:38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f t="shared" si="127"/>
        <v>0</v>
      </c>
      <c r="AH1370" t="str">
        <f t="shared" si="128"/>
        <v>26-35</v>
      </c>
      <c r="AI1370" t="str">
        <f t="shared" si="129"/>
        <v>2. 3K-6K</v>
      </c>
      <c r="AJ1370" s="1" t="str">
        <f t="shared" si="130"/>
        <v>4. 10+ yrs</v>
      </c>
      <c r="AK1370" s="1" t="str">
        <f t="shared" si="131"/>
        <v>4. Very High</v>
      </c>
      <c r="AL1370" s="1" t="str">
        <f t="shared" si="132"/>
        <v>3. Better</v>
      </c>
    </row>
    <row r="1371" spans="1:38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f t="shared" si="127"/>
        <v>1</v>
      </c>
      <c r="AH1371" t="str">
        <f t="shared" si="128"/>
        <v>26-35</v>
      </c>
      <c r="AI1371" t="str">
        <f t="shared" si="129"/>
        <v>3. 6K-10K</v>
      </c>
      <c r="AJ1371" s="1" t="str">
        <f t="shared" si="130"/>
        <v>2. 2-5 yrs</v>
      </c>
      <c r="AK1371" s="1" t="str">
        <f t="shared" si="131"/>
        <v>3. High</v>
      </c>
      <c r="AL1371" s="1" t="str">
        <f t="shared" si="132"/>
        <v>3. Better</v>
      </c>
    </row>
    <row r="1372" spans="1:38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f t="shared" si="127"/>
        <v>0</v>
      </c>
      <c r="AH1372" t="str">
        <f t="shared" si="128"/>
        <v>46-55</v>
      </c>
      <c r="AI1372" t="str">
        <f t="shared" si="129"/>
        <v>2. 3K-6K</v>
      </c>
      <c r="AJ1372" s="1" t="str">
        <f t="shared" si="130"/>
        <v>3. 6-10 yrs</v>
      </c>
      <c r="AK1372" s="1" t="str">
        <f t="shared" si="131"/>
        <v>2. Medium</v>
      </c>
      <c r="AL1372" s="1" t="str">
        <f t="shared" si="132"/>
        <v>4. Best</v>
      </c>
    </row>
    <row r="1373" spans="1:38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f t="shared" si="127"/>
        <v>0</v>
      </c>
      <c r="AH1373" t="str">
        <f t="shared" si="128"/>
        <v>56+</v>
      </c>
      <c r="AI1373" t="str">
        <f t="shared" si="129"/>
        <v>2. 3K-6K</v>
      </c>
      <c r="AJ1373" s="1" t="str">
        <f t="shared" si="130"/>
        <v>1. 0-1 yrs</v>
      </c>
      <c r="AK1373" s="1" t="str">
        <f t="shared" si="131"/>
        <v>1. Low</v>
      </c>
      <c r="AL1373" s="1" t="str">
        <f t="shared" si="132"/>
        <v>3. Better</v>
      </c>
    </row>
    <row r="1374" spans="1:38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f t="shared" si="127"/>
        <v>0</v>
      </c>
      <c r="AH1374" t="str">
        <f t="shared" si="128"/>
        <v>36-45</v>
      </c>
      <c r="AI1374" t="str">
        <f t="shared" si="129"/>
        <v>2. 3K-6K</v>
      </c>
      <c r="AJ1374" s="1" t="str">
        <f t="shared" si="130"/>
        <v>3. 6-10 yrs</v>
      </c>
      <c r="AK1374" s="1" t="str">
        <f t="shared" si="131"/>
        <v>1. Low</v>
      </c>
      <c r="AL1374" s="1" t="str">
        <f t="shared" si="132"/>
        <v>3. Better</v>
      </c>
    </row>
    <row r="1375" spans="1:38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f t="shared" si="127"/>
        <v>0</v>
      </c>
      <c r="AH1375" t="str">
        <f t="shared" si="128"/>
        <v>36-45</v>
      </c>
      <c r="AI1375" t="str">
        <f t="shared" si="129"/>
        <v>1. Under 3K</v>
      </c>
      <c r="AJ1375" s="1" t="str">
        <f t="shared" si="130"/>
        <v>4. 10+ yrs</v>
      </c>
      <c r="AK1375" s="1" t="str">
        <f t="shared" si="131"/>
        <v>2. Medium</v>
      </c>
      <c r="AL1375" s="1" t="str">
        <f t="shared" si="132"/>
        <v>3. Better</v>
      </c>
    </row>
    <row r="1376" spans="1:38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f t="shared" si="127"/>
        <v>0</v>
      </c>
      <c r="AH1376" t="str">
        <f t="shared" si="128"/>
        <v>56+</v>
      </c>
      <c r="AI1376" t="str">
        <f t="shared" si="129"/>
        <v>4. 10K+</v>
      </c>
      <c r="AJ1376" s="1" t="str">
        <f t="shared" si="130"/>
        <v>1. 0-1 yrs</v>
      </c>
      <c r="AK1376" s="1" t="str">
        <f t="shared" si="131"/>
        <v>4. Very High</v>
      </c>
      <c r="AL1376" s="1" t="str">
        <f t="shared" si="132"/>
        <v>2. Good</v>
      </c>
    </row>
    <row r="1377" spans="1:38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f t="shared" si="127"/>
        <v>1</v>
      </c>
      <c r="AH1377" t="str">
        <f t="shared" si="128"/>
        <v>26-35</v>
      </c>
      <c r="AI1377" t="str">
        <f t="shared" si="129"/>
        <v>1. Under 3K</v>
      </c>
      <c r="AJ1377" s="1" t="str">
        <f t="shared" si="130"/>
        <v>2. 2-5 yrs</v>
      </c>
      <c r="AK1377" s="1" t="str">
        <f t="shared" si="131"/>
        <v>3. High</v>
      </c>
      <c r="AL1377" s="1" t="str">
        <f t="shared" si="132"/>
        <v>3. Better</v>
      </c>
    </row>
    <row r="1378" spans="1:38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f t="shared" si="127"/>
        <v>0</v>
      </c>
      <c r="AH1378" t="str">
        <f t="shared" si="128"/>
        <v>36-45</v>
      </c>
      <c r="AI1378" t="str">
        <f t="shared" si="129"/>
        <v>2. 3K-6K</v>
      </c>
      <c r="AJ1378" s="1" t="str">
        <f t="shared" si="130"/>
        <v>2. 2-5 yrs</v>
      </c>
      <c r="AK1378" s="1" t="str">
        <f t="shared" si="131"/>
        <v>4. Very High</v>
      </c>
      <c r="AL1378" s="1" t="str">
        <f t="shared" si="132"/>
        <v>4. Best</v>
      </c>
    </row>
    <row r="1379" spans="1:38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f t="shared" si="127"/>
        <v>0</v>
      </c>
      <c r="AH1379" t="str">
        <f t="shared" si="128"/>
        <v>46-55</v>
      </c>
      <c r="AI1379" t="str">
        <f t="shared" si="129"/>
        <v>4. 10K+</v>
      </c>
      <c r="AJ1379" s="1" t="str">
        <f t="shared" si="130"/>
        <v>2. 2-5 yrs</v>
      </c>
      <c r="AK1379" s="1" t="str">
        <f t="shared" si="131"/>
        <v>4. Very High</v>
      </c>
      <c r="AL1379" s="1" t="str">
        <f t="shared" si="132"/>
        <v>3. Better</v>
      </c>
    </row>
    <row r="1380" spans="1:38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f t="shared" si="127"/>
        <v>0</v>
      </c>
      <c r="AH1380" t="str">
        <f t="shared" si="128"/>
        <v>36-45</v>
      </c>
      <c r="AI1380" t="str">
        <f t="shared" si="129"/>
        <v>2. 3K-6K</v>
      </c>
      <c r="AJ1380" s="1" t="str">
        <f t="shared" si="130"/>
        <v>1. 0-1 yrs</v>
      </c>
      <c r="AK1380" s="1" t="str">
        <f t="shared" si="131"/>
        <v>4. Very High</v>
      </c>
      <c r="AL1380" s="1" t="str">
        <f t="shared" si="132"/>
        <v>3. Better</v>
      </c>
    </row>
    <row r="1381" spans="1:38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f t="shared" si="127"/>
        <v>1</v>
      </c>
      <c r="AH1381" t="str">
        <f t="shared" si="128"/>
        <v>26-35</v>
      </c>
      <c r="AI1381" t="str">
        <f t="shared" si="129"/>
        <v>1. Under 3K</v>
      </c>
      <c r="AJ1381" s="1" t="str">
        <f t="shared" si="130"/>
        <v>1. 0-1 yrs</v>
      </c>
      <c r="AK1381" s="1" t="str">
        <f t="shared" si="131"/>
        <v>2. Medium</v>
      </c>
      <c r="AL1381" s="1" t="str">
        <f t="shared" si="132"/>
        <v>3. Better</v>
      </c>
    </row>
    <row r="1382" spans="1:38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f t="shared" si="127"/>
        <v>0</v>
      </c>
      <c r="AH1382" t="str">
        <f t="shared" si="128"/>
        <v>26-35</v>
      </c>
      <c r="AI1382" t="str">
        <f t="shared" si="129"/>
        <v>2. 3K-6K</v>
      </c>
      <c r="AJ1382" s="1" t="str">
        <f t="shared" si="130"/>
        <v>2. 2-5 yrs</v>
      </c>
      <c r="AK1382" s="1" t="str">
        <f t="shared" si="131"/>
        <v>1. Low</v>
      </c>
      <c r="AL1382" s="1" t="str">
        <f t="shared" si="132"/>
        <v>1. Bad</v>
      </c>
    </row>
    <row r="1383" spans="1:38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f t="shared" si="127"/>
        <v>0</v>
      </c>
      <c r="AH1383" t="str">
        <f t="shared" si="128"/>
        <v>26-35</v>
      </c>
      <c r="AI1383" t="str">
        <f t="shared" si="129"/>
        <v>1. Under 3K</v>
      </c>
      <c r="AJ1383" s="1" t="str">
        <f t="shared" si="130"/>
        <v>2. 2-5 yrs</v>
      </c>
      <c r="AK1383" s="1" t="str">
        <f t="shared" si="131"/>
        <v>3. High</v>
      </c>
      <c r="AL1383" s="1" t="str">
        <f t="shared" si="132"/>
        <v>2. Good</v>
      </c>
    </row>
    <row r="1384" spans="1:38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f t="shared" si="127"/>
        <v>0</v>
      </c>
      <c r="AH1384" t="str">
        <f t="shared" si="128"/>
        <v>26-35</v>
      </c>
      <c r="AI1384" t="str">
        <f t="shared" si="129"/>
        <v>2. 3K-6K</v>
      </c>
      <c r="AJ1384" s="1" t="str">
        <f t="shared" si="130"/>
        <v>2. 2-5 yrs</v>
      </c>
      <c r="AK1384" s="1" t="str">
        <f t="shared" si="131"/>
        <v>1. Low</v>
      </c>
      <c r="AL1384" s="1" t="str">
        <f t="shared" si="132"/>
        <v>4. Best</v>
      </c>
    </row>
    <row r="1385" spans="1:38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f t="shared" si="127"/>
        <v>0</v>
      </c>
      <c r="AH1385" t="str">
        <f t="shared" si="128"/>
        <v>36-45</v>
      </c>
      <c r="AI1385" t="str">
        <f t="shared" si="129"/>
        <v>1. Under 3K</v>
      </c>
      <c r="AJ1385" s="1" t="str">
        <f t="shared" si="130"/>
        <v>2. 2-5 yrs</v>
      </c>
      <c r="AK1385" s="1" t="str">
        <f t="shared" si="131"/>
        <v>2. Medium</v>
      </c>
      <c r="AL1385" s="1" t="str">
        <f t="shared" si="132"/>
        <v>3. Better</v>
      </c>
    </row>
    <row r="1386" spans="1:38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f t="shared" si="127"/>
        <v>0</v>
      </c>
      <c r="AH1386" t="str">
        <f t="shared" si="128"/>
        <v>26-35</v>
      </c>
      <c r="AI1386" t="str">
        <f t="shared" si="129"/>
        <v>3. 6K-10K</v>
      </c>
      <c r="AJ1386" s="1" t="str">
        <f t="shared" si="130"/>
        <v>4. 10+ yrs</v>
      </c>
      <c r="AK1386" s="1" t="str">
        <f t="shared" si="131"/>
        <v>4. Very High</v>
      </c>
      <c r="AL1386" s="1" t="str">
        <f t="shared" si="132"/>
        <v>2. Good</v>
      </c>
    </row>
    <row r="1387" spans="1:38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f t="shared" si="127"/>
        <v>0</v>
      </c>
      <c r="AH1387" t="str">
        <f t="shared" si="128"/>
        <v>26-35</v>
      </c>
      <c r="AI1387" t="str">
        <f t="shared" si="129"/>
        <v>3. 6K-10K</v>
      </c>
      <c r="AJ1387" s="1" t="str">
        <f t="shared" si="130"/>
        <v>3. 6-10 yrs</v>
      </c>
      <c r="AK1387" s="1" t="str">
        <f t="shared" si="131"/>
        <v>3. High</v>
      </c>
      <c r="AL1387" s="1" t="str">
        <f t="shared" si="132"/>
        <v>2. Good</v>
      </c>
    </row>
    <row r="1388" spans="1:38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f t="shared" si="127"/>
        <v>0</v>
      </c>
      <c r="AH1388" t="str">
        <f t="shared" si="128"/>
        <v>26-35</v>
      </c>
      <c r="AI1388" t="str">
        <f t="shared" si="129"/>
        <v>1. Under 3K</v>
      </c>
      <c r="AJ1388" s="1" t="str">
        <f t="shared" si="130"/>
        <v>3. 6-10 yrs</v>
      </c>
      <c r="AK1388" s="1" t="str">
        <f t="shared" si="131"/>
        <v>1. Low</v>
      </c>
      <c r="AL1388" s="1" t="str">
        <f t="shared" si="132"/>
        <v>2. Good</v>
      </c>
    </row>
    <row r="1389" spans="1:38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f t="shared" si="127"/>
        <v>0</v>
      </c>
      <c r="AH1389" t="str">
        <f t="shared" si="128"/>
        <v>26-35</v>
      </c>
      <c r="AI1389" t="str">
        <f t="shared" si="129"/>
        <v>2. 3K-6K</v>
      </c>
      <c r="AJ1389" s="1" t="str">
        <f t="shared" si="130"/>
        <v>2. 2-5 yrs</v>
      </c>
      <c r="AK1389" s="1" t="str">
        <f t="shared" si="131"/>
        <v>1. Low</v>
      </c>
      <c r="AL1389" s="1" t="str">
        <f t="shared" si="132"/>
        <v>2. Good</v>
      </c>
    </row>
    <row r="1390" spans="1:38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f t="shared" si="127"/>
        <v>0</v>
      </c>
      <c r="AH1390" t="str">
        <f t="shared" si="128"/>
        <v>26-35</v>
      </c>
      <c r="AI1390" t="str">
        <f t="shared" si="129"/>
        <v>3. 6K-10K</v>
      </c>
      <c r="AJ1390" s="1" t="str">
        <f t="shared" si="130"/>
        <v>2. 2-5 yrs</v>
      </c>
      <c r="AK1390" s="1" t="str">
        <f t="shared" si="131"/>
        <v>4. Very High</v>
      </c>
      <c r="AL1390" s="1" t="str">
        <f t="shared" si="132"/>
        <v>3. Better</v>
      </c>
    </row>
    <row r="1391" spans="1:38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f t="shared" si="127"/>
        <v>0</v>
      </c>
      <c r="AH1391" t="str">
        <f t="shared" si="128"/>
        <v>26-35</v>
      </c>
      <c r="AI1391" t="str">
        <f t="shared" si="129"/>
        <v>2. 3K-6K</v>
      </c>
      <c r="AJ1391" s="1" t="str">
        <f t="shared" si="130"/>
        <v>3. 6-10 yrs</v>
      </c>
      <c r="AK1391" s="1" t="str">
        <f t="shared" si="131"/>
        <v>1. Low</v>
      </c>
      <c r="AL1391" s="1" t="str">
        <f t="shared" si="132"/>
        <v>3. Better</v>
      </c>
    </row>
    <row r="1392" spans="1:38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f t="shared" si="127"/>
        <v>1</v>
      </c>
      <c r="AH1392" t="str">
        <f t="shared" si="128"/>
        <v>26-35</v>
      </c>
      <c r="AI1392" t="str">
        <f t="shared" si="129"/>
        <v>1. Under 3K</v>
      </c>
      <c r="AJ1392" s="1" t="str">
        <f t="shared" si="130"/>
        <v>2. 2-5 yrs</v>
      </c>
      <c r="AK1392" s="1" t="str">
        <f t="shared" si="131"/>
        <v>4. Very High</v>
      </c>
      <c r="AL1392" s="1" t="str">
        <f t="shared" si="132"/>
        <v>2. Good</v>
      </c>
    </row>
    <row r="1393" spans="1:38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f t="shared" si="127"/>
        <v>0</v>
      </c>
      <c r="AH1393" t="str">
        <f t="shared" si="128"/>
        <v>36-45</v>
      </c>
      <c r="AI1393" t="str">
        <f t="shared" si="129"/>
        <v>1. Under 3K</v>
      </c>
      <c r="AJ1393" s="1" t="str">
        <f t="shared" si="130"/>
        <v>1. 0-1 yrs</v>
      </c>
      <c r="AK1393" s="1" t="str">
        <f t="shared" si="131"/>
        <v>1. Low</v>
      </c>
      <c r="AL1393" s="1" t="str">
        <f t="shared" si="132"/>
        <v>2. Good</v>
      </c>
    </row>
    <row r="1394" spans="1:38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f t="shared" si="127"/>
        <v>0</v>
      </c>
      <c r="AH1394" t="str">
        <f t="shared" si="128"/>
        <v>26-35</v>
      </c>
      <c r="AI1394" t="str">
        <f t="shared" si="129"/>
        <v>2. 3K-6K</v>
      </c>
      <c r="AJ1394" s="1" t="str">
        <f t="shared" si="130"/>
        <v>3. 6-10 yrs</v>
      </c>
      <c r="AK1394" s="1" t="str">
        <f t="shared" si="131"/>
        <v>4. Very High</v>
      </c>
      <c r="AL1394" s="1" t="str">
        <f t="shared" si="132"/>
        <v>3. Better</v>
      </c>
    </row>
    <row r="1395" spans="1:38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f t="shared" si="127"/>
        <v>0</v>
      </c>
      <c r="AH1395" t="str">
        <f t="shared" si="128"/>
        <v>26-35</v>
      </c>
      <c r="AI1395" t="str">
        <f t="shared" si="129"/>
        <v>2. 3K-6K</v>
      </c>
      <c r="AJ1395" s="1" t="str">
        <f t="shared" si="130"/>
        <v>3. 6-10 yrs</v>
      </c>
      <c r="AK1395" s="1" t="str">
        <f t="shared" si="131"/>
        <v>4. Very High</v>
      </c>
      <c r="AL1395" s="1" t="str">
        <f t="shared" si="132"/>
        <v>3. Better</v>
      </c>
    </row>
    <row r="1396" spans="1:38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f t="shared" si="127"/>
        <v>0</v>
      </c>
      <c r="AH1396" t="str">
        <f t="shared" si="128"/>
        <v>26-35</v>
      </c>
      <c r="AI1396" t="str">
        <f t="shared" si="129"/>
        <v>3. 6K-10K</v>
      </c>
      <c r="AJ1396" s="1" t="str">
        <f t="shared" si="130"/>
        <v>1. 0-1 yrs</v>
      </c>
      <c r="AK1396" s="1" t="str">
        <f t="shared" si="131"/>
        <v>4. Very High</v>
      </c>
      <c r="AL1396" s="1" t="str">
        <f t="shared" si="132"/>
        <v>3. Better</v>
      </c>
    </row>
    <row r="1397" spans="1:38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f t="shared" si="127"/>
        <v>1</v>
      </c>
      <c r="AH1397" t="str">
        <f t="shared" si="128"/>
        <v>26-35</v>
      </c>
      <c r="AI1397" t="str">
        <f t="shared" si="129"/>
        <v>2. 3K-6K</v>
      </c>
      <c r="AJ1397" s="1" t="str">
        <f t="shared" si="130"/>
        <v>3. 6-10 yrs</v>
      </c>
      <c r="AK1397" s="1" t="str">
        <f t="shared" si="131"/>
        <v>4. Very High</v>
      </c>
      <c r="AL1397" s="1" t="str">
        <f t="shared" si="132"/>
        <v>3. Better</v>
      </c>
    </row>
    <row r="1398" spans="1:38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f t="shared" si="127"/>
        <v>1</v>
      </c>
      <c r="AH1398" t="str">
        <f t="shared" si="128"/>
        <v>46-55</v>
      </c>
      <c r="AI1398" t="str">
        <f t="shared" si="129"/>
        <v>4. 10K+</v>
      </c>
      <c r="AJ1398" s="1" t="str">
        <f t="shared" si="130"/>
        <v>2. 2-5 yrs</v>
      </c>
      <c r="AK1398" s="1" t="str">
        <f t="shared" si="131"/>
        <v>1. Low</v>
      </c>
      <c r="AL1398" s="1" t="str">
        <f t="shared" si="132"/>
        <v>2. Good</v>
      </c>
    </row>
    <row r="1399" spans="1:38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f t="shared" si="127"/>
        <v>0</v>
      </c>
      <c r="AH1399" t="str">
        <f t="shared" si="128"/>
        <v>46-55</v>
      </c>
      <c r="AI1399" t="str">
        <f t="shared" si="129"/>
        <v>1. Under 3K</v>
      </c>
      <c r="AJ1399" s="1" t="str">
        <f t="shared" si="130"/>
        <v>2. 2-5 yrs</v>
      </c>
      <c r="AK1399" s="1" t="str">
        <f t="shared" si="131"/>
        <v>3. High</v>
      </c>
      <c r="AL1399" s="1" t="str">
        <f t="shared" si="132"/>
        <v>2. Good</v>
      </c>
    </row>
    <row r="1400" spans="1:38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f t="shared" si="127"/>
        <v>0</v>
      </c>
      <c r="AH1400" t="str">
        <f t="shared" si="128"/>
        <v>26-35</v>
      </c>
      <c r="AI1400" t="str">
        <f t="shared" si="129"/>
        <v>2. 3K-6K</v>
      </c>
      <c r="AJ1400" s="1" t="str">
        <f t="shared" si="130"/>
        <v>3. 6-10 yrs</v>
      </c>
      <c r="AK1400" s="1" t="str">
        <f t="shared" si="131"/>
        <v>3. High</v>
      </c>
      <c r="AL1400" s="1" t="str">
        <f t="shared" si="132"/>
        <v>3. Better</v>
      </c>
    </row>
    <row r="1401" spans="1:38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f t="shared" si="127"/>
        <v>0</v>
      </c>
      <c r="AH1401" t="str">
        <f t="shared" si="128"/>
        <v>36-45</v>
      </c>
      <c r="AI1401" t="str">
        <f t="shared" si="129"/>
        <v>3. 6K-10K</v>
      </c>
      <c r="AJ1401" s="1" t="str">
        <f t="shared" si="130"/>
        <v>3. 6-10 yrs</v>
      </c>
      <c r="AK1401" s="1" t="str">
        <f t="shared" si="131"/>
        <v>3. High</v>
      </c>
      <c r="AL1401" s="1" t="str">
        <f t="shared" si="132"/>
        <v>3. Better</v>
      </c>
    </row>
    <row r="1402" spans="1:38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f t="shared" si="127"/>
        <v>0</v>
      </c>
      <c r="AH1402" t="str">
        <f t="shared" si="128"/>
        <v>36-45</v>
      </c>
      <c r="AI1402" t="str">
        <f t="shared" si="129"/>
        <v>1. Under 3K</v>
      </c>
      <c r="AJ1402" s="1" t="str">
        <f t="shared" si="130"/>
        <v>3. 6-10 yrs</v>
      </c>
      <c r="AK1402" s="1" t="str">
        <f t="shared" si="131"/>
        <v>2. Medium</v>
      </c>
      <c r="AL1402" s="1" t="str">
        <f t="shared" si="132"/>
        <v>3. Better</v>
      </c>
    </row>
    <row r="1403" spans="1:38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f t="shared" si="127"/>
        <v>0</v>
      </c>
      <c r="AH1403" t="str">
        <f t="shared" si="128"/>
        <v>46-55</v>
      </c>
      <c r="AI1403" t="str">
        <f t="shared" si="129"/>
        <v>4. 10K+</v>
      </c>
      <c r="AJ1403" s="1" t="str">
        <f t="shared" si="130"/>
        <v>3. 6-10 yrs</v>
      </c>
      <c r="AK1403" s="1" t="str">
        <f t="shared" si="131"/>
        <v>2. Medium</v>
      </c>
      <c r="AL1403" s="1" t="str">
        <f t="shared" si="132"/>
        <v>3. Better</v>
      </c>
    </row>
    <row r="1404" spans="1:38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f t="shared" si="127"/>
        <v>0</v>
      </c>
      <c r="AH1404" t="str">
        <f t="shared" si="128"/>
        <v>26-35</v>
      </c>
      <c r="AI1404" t="str">
        <f t="shared" si="129"/>
        <v>1. Under 3K</v>
      </c>
      <c r="AJ1404" s="1" t="str">
        <f t="shared" si="130"/>
        <v>1. 0-1 yrs</v>
      </c>
      <c r="AK1404" s="1" t="str">
        <f t="shared" si="131"/>
        <v>4. Very High</v>
      </c>
      <c r="AL1404" s="1" t="str">
        <f t="shared" si="132"/>
        <v>3. Better</v>
      </c>
    </row>
    <row r="1405" spans="1:38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f t="shared" si="127"/>
        <v>0</v>
      </c>
      <c r="AH1405" t="str">
        <f t="shared" si="128"/>
        <v>36-45</v>
      </c>
      <c r="AI1405" t="str">
        <f t="shared" si="129"/>
        <v>4. 10K+</v>
      </c>
      <c r="AJ1405" s="1" t="str">
        <f t="shared" si="130"/>
        <v>4. 10+ yrs</v>
      </c>
      <c r="AK1405" s="1" t="str">
        <f t="shared" si="131"/>
        <v>1. Low</v>
      </c>
      <c r="AL1405" s="1" t="str">
        <f t="shared" si="132"/>
        <v>3. Better</v>
      </c>
    </row>
    <row r="1406" spans="1:38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f t="shared" si="127"/>
        <v>0</v>
      </c>
      <c r="AH1406" t="str">
        <f t="shared" si="128"/>
        <v>36-45</v>
      </c>
      <c r="AI1406" t="str">
        <f t="shared" si="129"/>
        <v>2. 3K-6K</v>
      </c>
      <c r="AJ1406" s="1" t="str">
        <f t="shared" si="130"/>
        <v>4. 10+ yrs</v>
      </c>
      <c r="AK1406" s="1" t="str">
        <f t="shared" si="131"/>
        <v>3. High</v>
      </c>
      <c r="AL1406" s="1" t="str">
        <f t="shared" si="132"/>
        <v>3. Better</v>
      </c>
    </row>
    <row r="1407" spans="1:38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f t="shared" si="127"/>
        <v>0</v>
      </c>
      <c r="AH1407" t="str">
        <f t="shared" si="128"/>
        <v>26-35</v>
      </c>
      <c r="AI1407" t="str">
        <f t="shared" si="129"/>
        <v>4. 10K+</v>
      </c>
      <c r="AJ1407" s="1" t="str">
        <f t="shared" si="130"/>
        <v>4. 10+ yrs</v>
      </c>
      <c r="AK1407" s="1" t="str">
        <f t="shared" si="131"/>
        <v>3. High</v>
      </c>
      <c r="AL1407" s="1" t="str">
        <f t="shared" si="132"/>
        <v>4. Best</v>
      </c>
    </row>
    <row r="1408" spans="1:38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f t="shared" si="127"/>
        <v>0</v>
      </c>
      <c r="AH1408" t="str">
        <f t="shared" si="128"/>
        <v>46-55</v>
      </c>
      <c r="AI1408" t="str">
        <f t="shared" si="129"/>
        <v>2. 3K-6K</v>
      </c>
      <c r="AJ1408" s="1" t="str">
        <f t="shared" si="130"/>
        <v>2. 2-5 yrs</v>
      </c>
      <c r="AK1408" s="1" t="str">
        <f t="shared" si="131"/>
        <v>1. Low</v>
      </c>
      <c r="AL1408" s="1" t="str">
        <f t="shared" si="132"/>
        <v>3. Better</v>
      </c>
    </row>
    <row r="1409" spans="1:38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f t="shared" si="127"/>
        <v>0</v>
      </c>
      <c r="AH1409" t="str">
        <f t="shared" si="128"/>
        <v>18-25</v>
      </c>
      <c r="AI1409" t="str">
        <f t="shared" si="129"/>
        <v>2. 3K-6K</v>
      </c>
      <c r="AJ1409" s="1" t="str">
        <f t="shared" si="130"/>
        <v>2. 2-5 yrs</v>
      </c>
      <c r="AK1409" s="1" t="str">
        <f t="shared" si="131"/>
        <v>3. High</v>
      </c>
      <c r="AL1409" s="1" t="str">
        <f t="shared" si="132"/>
        <v>2. Good</v>
      </c>
    </row>
    <row r="1410" spans="1:38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f t="shared" ref="AG1410:AG1471" si="133">IF(B1410="Yes",1,0)</f>
        <v>0</v>
      </c>
      <c r="AH1410" t="str">
        <f t="shared" ref="AH1410:AH1471" si="134">IF(A1410&lt;26,"18-25",IF(A1410&lt;36,"26-35",IF(A1410&lt;46,"36-45",IF(A1410&lt;56,"46-55","56+"))))</f>
        <v>18-25</v>
      </c>
      <c r="AI1410" t="str">
        <f t="shared" ref="AI1410:AI1471" si="135">IF(R1410&lt;3000,"1. Under 3K",IF(R1410&lt;6000,"2. 3K-6K",IF(R1410&lt;10000,"3. 6K-10K","4. 10K+")))</f>
        <v>1. Under 3K</v>
      </c>
      <c r="AJ1410" s="1" t="str">
        <f t="shared" ref="AJ1410:AJ1471" si="136">IF(AC1410&lt;2,"1. 0-1 yrs",IF(AC1410&lt;6,"2. 2-5 yrs",IF(AC1410&lt;11,"3. 6-10 yrs","4. 10+ yrs")))</f>
        <v>2. 2-5 yrs</v>
      </c>
      <c r="AK1410" s="1" t="str">
        <f t="shared" ref="AK1410:AK1471" si="137">CHOOSE(P1410,"1. Low","2. Medium","3. High","4. Very High")</f>
        <v>4. Very High</v>
      </c>
      <c r="AL1410" s="1" t="str">
        <f t="shared" ref="AL1410:AL1471" si="138">CHOOSE(AB1410,"1. Bad","2. Good","3. Better","4. Best")</f>
        <v>4. Best</v>
      </c>
    </row>
    <row r="1411" spans="1:38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f t="shared" si="133"/>
        <v>0</v>
      </c>
      <c r="AH1411" t="str">
        <f t="shared" si="134"/>
        <v>36-45</v>
      </c>
      <c r="AI1411" t="str">
        <f t="shared" si="135"/>
        <v>3. 6K-10K</v>
      </c>
      <c r="AJ1411" s="1" t="str">
        <f t="shared" si="136"/>
        <v>3. 6-10 yrs</v>
      </c>
      <c r="AK1411" s="1" t="str">
        <f t="shared" si="137"/>
        <v>3. High</v>
      </c>
      <c r="AL1411" s="1" t="str">
        <f t="shared" si="138"/>
        <v>4. Best</v>
      </c>
    </row>
    <row r="1412" spans="1:38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f t="shared" si="133"/>
        <v>0</v>
      </c>
      <c r="AH1412" t="str">
        <f t="shared" si="134"/>
        <v>36-45</v>
      </c>
      <c r="AI1412" t="str">
        <f t="shared" si="135"/>
        <v>2. 3K-6K</v>
      </c>
      <c r="AJ1412" s="1" t="str">
        <f t="shared" si="136"/>
        <v>4. 10+ yrs</v>
      </c>
      <c r="AK1412" s="1" t="str">
        <f t="shared" si="137"/>
        <v>2. Medium</v>
      </c>
      <c r="AL1412" s="1" t="str">
        <f t="shared" si="138"/>
        <v>3. Better</v>
      </c>
    </row>
    <row r="1413" spans="1:38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f t="shared" si="133"/>
        <v>0</v>
      </c>
      <c r="AH1413" t="str">
        <f t="shared" si="134"/>
        <v>18-25</v>
      </c>
      <c r="AI1413" t="str">
        <f t="shared" si="135"/>
        <v>1. Under 3K</v>
      </c>
      <c r="AJ1413" s="1" t="str">
        <f t="shared" si="136"/>
        <v>2. 2-5 yrs</v>
      </c>
      <c r="AK1413" s="1" t="str">
        <f t="shared" si="137"/>
        <v>2. Medium</v>
      </c>
      <c r="AL1413" s="1" t="str">
        <f t="shared" si="138"/>
        <v>3. Better</v>
      </c>
    </row>
    <row r="1414" spans="1:38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f t="shared" si="133"/>
        <v>0</v>
      </c>
      <c r="AH1414" t="str">
        <f t="shared" si="134"/>
        <v>26-35</v>
      </c>
      <c r="AI1414" t="str">
        <f t="shared" si="135"/>
        <v>2. 3K-6K</v>
      </c>
      <c r="AJ1414" s="1" t="str">
        <f t="shared" si="136"/>
        <v>4. 10+ yrs</v>
      </c>
      <c r="AK1414" s="1" t="str">
        <f t="shared" si="137"/>
        <v>2. Medium</v>
      </c>
      <c r="AL1414" s="1" t="str">
        <f t="shared" si="138"/>
        <v>2. Good</v>
      </c>
    </row>
    <row r="1415" spans="1:38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f t="shared" si="133"/>
        <v>0</v>
      </c>
      <c r="AH1415" t="str">
        <f t="shared" si="134"/>
        <v>18-25</v>
      </c>
      <c r="AI1415" t="str">
        <f t="shared" si="135"/>
        <v>2. 3K-6K</v>
      </c>
      <c r="AJ1415" s="1" t="str">
        <f t="shared" si="136"/>
        <v>2. 2-5 yrs</v>
      </c>
      <c r="AK1415" s="1" t="str">
        <f t="shared" si="137"/>
        <v>3. High</v>
      </c>
      <c r="AL1415" s="1" t="str">
        <f t="shared" si="138"/>
        <v>2. Good</v>
      </c>
    </row>
    <row r="1416" spans="1:38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f t="shared" si="133"/>
        <v>0</v>
      </c>
      <c r="AH1416" t="str">
        <f t="shared" si="134"/>
        <v>46-55</v>
      </c>
      <c r="AI1416" t="str">
        <f t="shared" si="135"/>
        <v>3. 6K-10K</v>
      </c>
      <c r="AJ1416" s="1" t="str">
        <f t="shared" si="136"/>
        <v>4. 10+ yrs</v>
      </c>
      <c r="AK1416" s="1" t="str">
        <f t="shared" si="137"/>
        <v>3. High</v>
      </c>
      <c r="AL1416" s="1" t="str">
        <f t="shared" si="138"/>
        <v>3. Better</v>
      </c>
    </row>
    <row r="1417" spans="1:38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f t="shared" si="133"/>
        <v>0</v>
      </c>
      <c r="AH1417" t="str">
        <f t="shared" si="134"/>
        <v>26-35</v>
      </c>
      <c r="AI1417" t="str">
        <f t="shared" si="135"/>
        <v>1. Under 3K</v>
      </c>
      <c r="AJ1417" s="1" t="str">
        <f t="shared" si="136"/>
        <v>1. 0-1 yrs</v>
      </c>
      <c r="AK1417" s="1" t="str">
        <f t="shared" si="137"/>
        <v>3. High</v>
      </c>
      <c r="AL1417" s="1" t="str">
        <f t="shared" si="138"/>
        <v>2. Good</v>
      </c>
    </row>
    <row r="1418" spans="1:38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f t="shared" si="133"/>
        <v>0</v>
      </c>
      <c r="AH1418" t="str">
        <f t="shared" si="134"/>
        <v>36-45</v>
      </c>
      <c r="AI1418" t="str">
        <f t="shared" si="135"/>
        <v>2. 3K-6K</v>
      </c>
      <c r="AJ1418" s="1" t="str">
        <f t="shared" si="136"/>
        <v>4. 10+ yrs</v>
      </c>
      <c r="AK1418" s="1" t="str">
        <f t="shared" si="137"/>
        <v>2. Medium</v>
      </c>
      <c r="AL1418" s="1" t="str">
        <f t="shared" si="138"/>
        <v>3. Better</v>
      </c>
    </row>
    <row r="1419" spans="1:38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f t="shared" si="133"/>
        <v>0</v>
      </c>
      <c r="AH1419" t="str">
        <f t="shared" si="134"/>
        <v>26-35</v>
      </c>
      <c r="AI1419" t="str">
        <f t="shared" si="135"/>
        <v>2. 3K-6K</v>
      </c>
      <c r="AJ1419" s="1" t="str">
        <f t="shared" si="136"/>
        <v>2. 2-5 yrs</v>
      </c>
      <c r="AK1419" s="1" t="str">
        <f t="shared" si="137"/>
        <v>3. High</v>
      </c>
      <c r="AL1419" s="1" t="str">
        <f t="shared" si="138"/>
        <v>3. Better</v>
      </c>
    </row>
    <row r="1420" spans="1:38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f t="shared" si="133"/>
        <v>0</v>
      </c>
      <c r="AH1420" t="str">
        <f t="shared" si="134"/>
        <v>36-45</v>
      </c>
      <c r="AI1420" t="str">
        <f t="shared" si="135"/>
        <v>2. 3K-6K</v>
      </c>
      <c r="AJ1420" s="1" t="str">
        <f t="shared" si="136"/>
        <v>3. 6-10 yrs</v>
      </c>
      <c r="AK1420" s="1" t="str">
        <f t="shared" si="137"/>
        <v>3. High</v>
      </c>
      <c r="AL1420" s="1" t="str">
        <f t="shared" si="138"/>
        <v>3. Better</v>
      </c>
    </row>
    <row r="1421" spans="1:38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f t="shared" si="133"/>
        <v>0</v>
      </c>
      <c r="AH1421" t="str">
        <f t="shared" si="134"/>
        <v>36-45</v>
      </c>
      <c r="AI1421" t="str">
        <f t="shared" si="135"/>
        <v>2. 3K-6K</v>
      </c>
      <c r="AJ1421" s="1" t="str">
        <f t="shared" si="136"/>
        <v>2. 2-5 yrs</v>
      </c>
      <c r="AK1421" s="1" t="str">
        <f t="shared" si="137"/>
        <v>1. Low</v>
      </c>
      <c r="AL1421" s="1" t="str">
        <f t="shared" si="138"/>
        <v>2. Good</v>
      </c>
    </row>
    <row r="1422" spans="1:38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f t="shared" si="133"/>
        <v>0</v>
      </c>
      <c r="AH1422" t="str">
        <f t="shared" si="134"/>
        <v>36-45</v>
      </c>
      <c r="AI1422" t="str">
        <f t="shared" si="135"/>
        <v>1. Under 3K</v>
      </c>
      <c r="AJ1422" s="1" t="str">
        <f t="shared" si="136"/>
        <v>2. 2-5 yrs</v>
      </c>
      <c r="AK1422" s="1" t="str">
        <f t="shared" si="137"/>
        <v>4. Very High</v>
      </c>
      <c r="AL1422" s="1" t="str">
        <f t="shared" si="138"/>
        <v>3. Better</v>
      </c>
    </row>
    <row r="1423" spans="1:38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f t="shared" si="133"/>
        <v>0</v>
      </c>
      <c r="AH1423" t="str">
        <f t="shared" si="134"/>
        <v>46-55</v>
      </c>
      <c r="AI1423" t="str">
        <f t="shared" si="135"/>
        <v>4. 10K+</v>
      </c>
      <c r="AJ1423" s="1" t="str">
        <f t="shared" si="136"/>
        <v>4. 10+ yrs</v>
      </c>
      <c r="AK1423" s="1" t="str">
        <f t="shared" si="137"/>
        <v>2. Medium</v>
      </c>
      <c r="AL1423" s="1" t="str">
        <f t="shared" si="138"/>
        <v>1. Bad</v>
      </c>
    </row>
    <row r="1424" spans="1:38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f t="shared" si="133"/>
        <v>0</v>
      </c>
      <c r="AH1424" t="str">
        <f t="shared" si="134"/>
        <v>26-35</v>
      </c>
      <c r="AI1424" t="str">
        <f t="shared" si="135"/>
        <v>1. Under 3K</v>
      </c>
      <c r="AJ1424" s="1" t="str">
        <f t="shared" si="136"/>
        <v>2. 2-5 yrs</v>
      </c>
      <c r="AK1424" s="1" t="str">
        <f t="shared" si="137"/>
        <v>3. High</v>
      </c>
      <c r="AL1424" s="1" t="str">
        <f t="shared" si="138"/>
        <v>3. Better</v>
      </c>
    </row>
    <row r="1425" spans="1:38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f t="shared" si="133"/>
        <v>0</v>
      </c>
      <c r="AH1425" t="str">
        <f t="shared" si="134"/>
        <v>18-25</v>
      </c>
      <c r="AI1425" t="str">
        <f t="shared" si="135"/>
        <v>2. 3K-6K</v>
      </c>
      <c r="AJ1425" s="1" t="str">
        <f t="shared" si="136"/>
        <v>2. 2-5 yrs</v>
      </c>
      <c r="AK1425" s="1" t="str">
        <f t="shared" si="137"/>
        <v>3. High</v>
      </c>
      <c r="AL1425" s="1" t="str">
        <f t="shared" si="138"/>
        <v>4. Best</v>
      </c>
    </row>
    <row r="1426" spans="1:38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f t="shared" si="133"/>
        <v>0</v>
      </c>
      <c r="AH1426" t="str">
        <f t="shared" si="134"/>
        <v>26-35</v>
      </c>
      <c r="AI1426" t="str">
        <f t="shared" si="135"/>
        <v>2. 3K-6K</v>
      </c>
      <c r="AJ1426" s="1" t="str">
        <f t="shared" si="136"/>
        <v>3. 6-10 yrs</v>
      </c>
      <c r="AK1426" s="1" t="str">
        <f t="shared" si="137"/>
        <v>3. High</v>
      </c>
      <c r="AL1426" s="1" t="str">
        <f t="shared" si="138"/>
        <v>3. Better</v>
      </c>
    </row>
    <row r="1427" spans="1:38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f t="shared" si="133"/>
        <v>0</v>
      </c>
      <c r="AH1427" t="str">
        <f t="shared" si="134"/>
        <v>26-35</v>
      </c>
      <c r="AI1427" t="str">
        <f t="shared" si="135"/>
        <v>2. 3K-6K</v>
      </c>
      <c r="AJ1427" s="1" t="str">
        <f t="shared" si="136"/>
        <v>3. 6-10 yrs</v>
      </c>
      <c r="AK1427" s="1" t="str">
        <f t="shared" si="137"/>
        <v>4. Very High</v>
      </c>
      <c r="AL1427" s="1" t="str">
        <f t="shared" si="138"/>
        <v>3. Better</v>
      </c>
    </row>
    <row r="1428" spans="1:38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f t="shared" si="133"/>
        <v>0</v>
      </c>
      <c r="AH1428" t="str">
        <f t="shared" si="134"/>
        <v>26-35</v>
      </c>
      <c r="AI1428" t="str">
        <f t="shared" si="135"/>
        <v>1. Under 3K</v>
      </c>
      <c r="AJ1428" s="1" t="str">
        <f t="shared" si="136"/>
        <v>3. 6-10 yrs</v>
      </c>
      <c r="AK1428" s="1" t="str">
        <f t="shared" si="137"/>
        <v>2. Medium</v>
      </c>
      <c r="AL1428" s="1" t="str">
        <f t="shared" si="138"/>
        <v>3. Better</v>
      </c>
    </row>
    <row r="1429" spans="1:38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f t="shared" si="133"/>
        <v>0</v>
      </c>
      <c r="AH1429" t="str">
        <f t="shared" si="134"/>
        <v>36-45</v>
      </c>
      <c r="AI1429" t="str">
        <f t="shared" si="135"/>
        <v>1. Under 3K</v>
      </c>
      <c r="AJ1429" s="1" t="str">
        <f t="shared" si="136"/>
        <v>1. 0-1 yrs</v>
      </c>
      <c r="AK1429" s="1" t="str">
        <f t="shared" si="137"/>
        <v>4. Very High</v>
      </c>
      <c r="AL1429" s="1" t="str">
        <f t="shared" si="138"/>
        <v>2. Good</v>
      </c>
    </row>
    <row r="1430" spans="1:38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f t="shared" si="133"/>
        <v>0</v>
      </c>
      <c r="AH1430" t="str">
        <f t="shared" si="134"/>
        <v>26-35</v>
      </c>
      <c r="AI1430" t="str">
        <f t="shared" si="135"/>
        <v>1. Under 3K</v>
      </c>
      <c r="AJ1430" s="1" t="str">
        <f t="shared" si="136"/>
        <v>2. 2-5 yrs</v>
      </c>
      <c r="AK1430" s="1" t="str">
        <f t="shared" si="137"/>
        <v>2. Medium</v>
      </c>
      <c r="AL1430" s="1" t="str">
        <f t="shared" si="138"/>
        <v>3. Better</v>
      </c>
    </row>
    <row r="1431" spans="1:38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f t="shared" si="133"/>
        <v>0</v>
      </c>
      <c r="AH1431" t="str">
        <f t="shared" si="134"/>
        <v>36-45</v>
      </c>
      <c r="AI1431" t="str">
        <f t="shared" si="135"/>
        <v>2. 3K-6K</v>
      </c>
      <c r="AJ1431" s="1" t="str">
        <f t="shared" si="136"/>
        <v>3. 6-10 yrs</v>
      </c>
      <c r="AK1431" s="1" t="str">
        <f t="shared" si="137"/>
        <v>4. Very High</v>
      </c>
      <c r="AL1431" s="1" t="str">
        <f t="shared" si="138"/>
        <v>3. Better</v>
      </c>
    </row>
    <row r="1432" spans="1:38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f t="shared" si="133"/>
        <v>0</v>
      </c>
      <c r="AH1432" t="str">
        <f t="shared" si="134"/>
        <v>36-45</v>
      </c>
      <c r="AI1432" t="str">
        <f t="shared" si="135"/>
        <v>4. 10K+</v>
      </c>
      <c r="AJ1432" s="1" t="str">
        <f t="shared" si="136"/>
        <v>4. 10+ yrs</v>
      </c>
      <c r="AK1432" s="1" t="str">
        <f t="shared" si="137"/>
        <v>3. High</v>
      </c>
      <c r="AL1432" s="1" t="str">
        <f t="shared" si="138"/>
        <v>3. Better</v>
      </c>
    </row>
    <row r="1433" spans="1:38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f t="shared" si="133"/>
        <v>0</v>
      </c>
      <c r="AH1433" t="str">
        <f t="shared" si="134"/>
        <v>26-35</v>
      </c>
      <c r="AI1433" t="str">
        <f t="shared" si="135"/>
        <v>4. 10K+</v>
      </c>
      <c r="AJ1433" s="1" t="str">
        <f t="shared" si="136"/>
        <v>4. 10+ yrs</v>
      </c>
      <c r="AK1433" s="1" t="str">
        <f t="shared" si="137"/>
        <v>4. Very High</v>
      </c>
      <c r="AL1433" s="1" t="str">
        <f t="shared" si="138"/>
        <v>3. Better</v>
      </c>
    </row>
    <row r="1434" spans="1:38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f t="shared" si="133"/>
        <v>0</v>
      </c>
      <c r="AH1434" t="str">
        <f t="shared" si="134"/>
        <v>36-45</v>
      </c>
      <c r="AI1434" t="str">
        <f t="shared" si="135"/>
        <v>4. 10K+</v>
      </c>
      <c r="AJ1434" s="1" t="str">
        <f t="shared" si="136"/>
        <v>4. 10+ yrs</v>
      </c>
      <c r="AK1434" s="1" t="str">
        <f t="shared" si="137"/>
        <v>4. Very High</v>
      </c>
      <c r="AL1434" s="1" t="str">
        <f t="shared" si="138"/>
        <v>3. Better</v>
      </c>
    </row>
    <row r="1435" spans="1:38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f t="shared" si="133"/>
        <v>0</v>
      </c>
      <c r="AH1435" t="str">
        <f t="shared" si="134"/>
        <v>18-25</v>
      </c>
      <c r="AI1435" t="str">
        <f t="shared" si="135"/>
        <v>2. 3K-6K</v>
      </c>
      <c r="AJ1435" s="1" t="str">
        <f t="shared" si="136"/>
        <v>2. 2-5 yrs</v>
      </c>
      <c r="AK1435" s="1" t="str">
        <f t="shared" si="137"/>
        <v>3. High</v>
      </c>
      <c r="AL1435" s="1" t="str">
        <f t="shared" si="138"/>
        <v>2. Good</v>
      </c>
    </row>
    <row r="1436" spans="1:38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f t="shared" si="133"/>
        <v>0</v>
      </c>
      <c r="AH1436" t="str">
        <f t="shared" si="134"/>
        <v>46-55</v>
      </c>
      <c r="AI1436" t="str">
        <f t="shared" si="135"/>
        <v>2. 3K-6K</v>
      </c>
      <c r="AJ1436" s="1" t="str">
        <f t="shared" si="136"/>
        <v>3. 6-10 yrs</v>
      </c>
      <c r="AK1436" s="1" t="str">
        <f t="shared" si="137"/>
        <v>4. Very High</v>
      </c>
      <c r="AL1436" s="1" t="str">
        <f t="shared" si="138"/>
        <v>2. Good</v>
      </c>
    </row>
    <row r="1437" spans="1:38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f t="shared" si="133"/>
        <v>0</v>
      </c>
      <c r="AH1437" t="str">
        <f t="shared" si="134"/>
        <v>36-45</v>
      </c>
      <c r="AI1437" t="str">
        <f t="shared" si="135"/>
        <v>1. Under 3K</v>
      </c>
      <c r="AJ1437" s="1" t="str">
        <f t="shared" si="136"/>
        <v>2. 2-5 yrs</v>
      </c>
      <c r="AK1437" s="1" t="str">
        <f t="shared" si="137"/>
        <v>4. Very High</v>
      </c>
      <c r="AL1437" s="1" t="str">
        <f t="shared" si="138"/>
        <v>3. Better</v>
      </c>
    </row>
    <row r="1438" spans="1:38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f t="shared" si="133"/>
        <v>0</v>
      </c>
      <c r="AH1438" t="str">
        <f t="shared" si="134"/>
        <v>18-25</v>
      </c>
      <c r="AI1438" t="str">
        <f t="shared" si="135"/>
        <v>1. Under 3K</v>
      </c>
      <c r="AJ1438" s="1" t="str">
        <f t="shared" si="136"/>
        <v>2. 2-5 yrs</v>
      </c>
      <c r="AK1438" s="1" t="str">
        <f t="shared" si="137"/>
        <v>1. Low</v>
      </c>
      <c r="AL1438" s="1" t="str">
        <f t="shared" si="138"/>
        <v>3. Better</v>
      </c>
    </row>
    <row r="1439" spans="1:38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f t="shared" si="133"/>
        <v>0</v>
      </c>
      <c r="AH1439" t="str">
        <f t="shared" si="134"/>
        <v>36-45</v>
      </c>
      <c r="AI1439" t="str">
        <f t="shared" si="135"/>
        <v>4. 10K+</v>
      </c>
      <c r="AJ1439" s="1" t="str">
        <f t="shared" si="136"/>
        <v>3. 6-10 yrs</v>
      </c>
      <c r="AK1439" s="1" t="str">
        <f t="shared" si="137"/>
        <v>4. Very High</v>
      </c>
      <c r="AL1439" s="1" t="str">
        <f t="shared" si="138"/>
        <v>2. Good</v>
      </c>
    </row>
    <row r="1440" spans="1:38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f t="shared" si="133"/>
        <v>1</v>
      </c>
      <c r="AH1440" t="str">
        <f t="shared" si="134"/>
        <v>18-25</v>
      </c>
      <c r="AI1440" t="str">
        <f t="shared" si="135"/>
        <v>1. Under 3K</v>
      </c>
      <c r="AJ1440" s="1" t="str">
        <f t="shared" si="136"/>
        <v>1. 0-1 yrs</v>
      </c>
      <c r="AK1440" s="1" t="str">
        <f t="shared" si="137"/>
        <v>1. Low</v>
      </c>
      <c r="AL1440" s="1" t="str">
        <f t="shared" si="138"/>
        <v>2. Good</v>
      </c>
    </row>
    <row r="1441" spans="1:38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f t="shared" si="133"/>
        <v>0</v>
      </c>
      <c r="AH1441" t="str">
        <f t="shared" si="134"/>
        <v>36-45</v>
      </c>
      <c r="AI1441" t="str">
        <f t="shared" si="135"/>
        <v>3. 6K-10K</v>
      </c>
      <c r="AJ1441" s="1" t="str">
        <f t="shared" si="136"/>
        <v>3. 6-10 yrs</v>
      </c>
      <c r="AK1441" s="1" t="str">
        <f t="shared" si="137"/>
        <v>4. Very High</v>
      </c>
      <c r="AL1441" s="1" t="str">
        <f t="shared" si="138"/>
        <v>3. Better</v>
      </c>
    </row>
    <row r="1442" spans="1:38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f t="shared" si="133"/>
        <v>0</v>
      </c>
      <c r="AH1442" t="str">
        <f t="shared" si="134"/>
        <v>36-45</v>
      </c>
      <c r="AI1442" t="str">
        <f t="shared" si="135"/>
        <v>2. 3K-6K</v>
      </c>
      <c r="AJ1442" s="1" t="str">
        <f t="shared" si="136"/>
        <v>2. 2-5 yrs</v>
      </c>
      <c r="AK1442" s="1" t="str">
        <f t="shared" si="137"/>
        <v>2. Medium</v>
      </c>
      <c r="AL1442" s="1" t="str">
        <f t="shared" si="138"/>
        <v>3. Better</v>
      </c>
    </row>
    <row r="1443" spans="1:38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f t="shared" si="133"/>
        <v>0</v>
      </c>
      <c r="AH1443" t="str">
        <f t="shared" si="134"/>
        <v>56+</v>
      </c>
      <c r="AI1443" t="str">
        <f t="shared" si="135"/>
        <v>3. 6K-10K</v>
      </c>
      <c r="AJ1443" s="1" t="str">
        <f t="shared" si="136"/>
        <v>4. 10+ yrs</v>
      </c>
      <c r="AK1443" s="1" t="str">
        <f t="shared" si="137"/>
        <v>3. High</v>
      </c>
      <c r="AL1443" s="1" t="str">
        <f t="shared" si="138"/>
        <v>2. Good</v>
      </c>
    </row>
    <row r="1444" spans="1:38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f t="shared" si="133"/>
        <v>1</v>
      </c>
      <c r="AH1444" t="str">
        <f t="shared" si="134"/>
        <v>26-35</v>
      </c>
      <c r="AI1444" t="str">
        <f t="shared" si="135"/>
        <v>2. 3K-6K</v>
      </c>
      <c r="AJ1444" s="1" t="str">
        <f t="shared" si="136"/>
        <v>2. 2-5 yrs</v>
      </c>
      <c r="AK1444" s="1" t="str">
        <f t="shared" si="137"/>
        <v>4. Very High</v>
      </c>
      <c r="AL1444" s="1" t="str">
        <f t="shared" si="138"/>
        <v>4. Best</v>
      </c>
    </row>
    <row r="1445" spans="1:38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f t="shared" si="133"/>
        <v>0</v>
      </c>
      <c r="AH1445" t="str">
        <f t="shared" si="134"/>
        <v>36-45</v>
      </c>
      <c r="AI1445" t="str">
        <f t="shared" si="135"/>
        <v>4. 10K+</v>
      </c>
      <c r="AJ1445" s="1" t="str">
        <f t="shared" si="136"/>
        <v>4. 10+ yrs</v>
      </c>
      <c r="AK1445" s="1" t="str">
        <f t="shared" si="137"/>
        <v>3. High</v>
      </c>
      <c r="AL1445" s="1" t="str">
        <f t="shared" si="138"/>
        <v>2. Good</v>
      </c>
    </row>
    <row r="1446" spans="1:38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f t="shared" si="133"/>
        <v>1</v>
      </c>
      <c r="AH1446" t="str">
        <f t="shared" si="134"/>
        <v>56+</v>
      </c>
      <c r="AI1446" t="str">
        <f t="shared" si="135"/>
        <v>1. Under 3K</v>
      </c>
      <c r="AJ1446" s="1" t="str">
        <f t="shared" si="136"/>
        <v>3. 6-10 yrs</v>
      </c>
      <c r="AK1446" s="1" t="str">
        <f t="shared" si="137"/>
        <v>3. High</v>
      </c>
      <c r="AL1446" s="1" t="str">
        <f t="shared" si="138"/>
        <v>1. Bad</v>
      </c>
    </row>
    <row r="1447" spans="1:38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f t="shared" si="133"/>
        <v>0</v>
      </c>
      <c r="AH1447" t="str">
        <f t="shared" si="134"/>
        <v>36-45</v>
      </c>
      <c r="AI1447" t="str">
        <f t="shared" si="135"/>
        <v>4. 10K+</v>
      </c>
      <c r="AJ1447" s="1" t="str">
        <f t="shared" si="136"/>
        <v>4. 10+ yrs</v>
      </c>
      <c r="AK1447" s="1" t="str">
        <f t="shared" si="137"/>
        <v>2. Medium</v>
      </c>
      <c r="AL1447" s="1" t="str">
        <f t="shared" si="138"/>
        <v>3. Better</v>
      </c>
    </row>
    <row r="1448" spans="1:38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f t="shared" si="133"/>
        <v>0</v>
      </c>
      <c r="AH1448" t="str">
        <f t="shared" si="134"/>
        <v>26-35</v>
      </c>
      <c r="AI1448" t="str">
        <f t="shared" si="135"/>
        <v>3. 6K-10K</v>
      </c>
      <c r="AJ1448" s="1" t="str">
        <f t="shared" si="136"/>
        <v>3. 6-10 yrs</v>
      </c>
      <c r="AK1448" s="1" t="str">
        <f t="shared" si="137"/>
        <v>3. High</v>
      </c>
      <c r="AL1448" s="1" t="str">
        <f t="shared" si="138"/>
        <v>3. Better</v>
      </c>
    </row>
    <row r="1449" spans="1:38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f t="shared" si="133"/>
        <v>0</v>
      </c>
      <c r="AH1449" t="str">
        <f t="shared" si="134"/>
        <v>36-45</v>
      </c>
      <c r="AI1449" t="str">
        <f t="shared" si="135"/>
        <v>2. 3K-6K</v>
      </c>
      <c r="AJ1449" s="1" t="str">
        <f t="shared" si="136"/>
        <v>4. 10+ yrs</v>
      </c>
      <c r="AK1449" s="1" t="str">
        <f t="shared" si="137"/>
        <v>4. Very High</v>
      </c>
      <c r="AL1449" s="1" t="str">
        <f t="shared" si="138"/>
        <v>2. Good</v>
      </c>
    </row>
    <row r="1450" spans="1:38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f t="shared" si="133"/>
        <v>0</v>
      </c>
      <c r="AH1450" t="str">
        <f t="shared" si="134"/>
        <v>36-45</v>
      </c>
      <c r="AI1450" t="str">
        <f t="shared" si="135"/>
        <v>3. 6K-10K</v>
      </c>
      <c r="AJ1450" s="1" t="str">
        <f t="shared" si="136"/>
        <v>2. 2-5 yrs</v>
      </c>
      <c r="AK1450" s="1" t="str">
        <f t="shared" si="137"/>
        <v>2. Medium</v>
      </c>
      <c r="AL1450" s="1" t="str">
        <f t="shared" si="138"/>
        <v>3. Better</v>
      </c>
    </row>
    <row r="1451" spans="1:38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f t="shared" si="133"/>
        <v>0</v>
      </c>
      <c r="AH1451" t="str">
        <f t="shared" si="134"/>
        <v>26-35</v>
      </c>
      <c r="AI1451" t="str">
        <f t="shared" si="135"/>
        <v>1. Under 3K</v>
      </c>
      <c r="AJ1451" s="1" t="str">
        <f t="shared" si="136"/>
        <v>2. 2-5 yrs</v>
      </c>
      <c r="AK1451" s="1" t="str">
        <f t="shared" si="137"/>
        <v>1. Low</v>
      </c>
      <c r="AL1451" s="1" t="str">
        <f t="shared" si="138"/>
        <v>3. Better</v>
      </c>
    </row>
    <row r="1452" spans="1:38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f t="shared" si="133"/>
        <v>0</v>
      </c>
      <c r="AH1452" t="str">
        <f t="shared" si="134"/>
        <v>26-35</v>
      </c>
      <c r="AI1452" t="str">
        <f t="shared" si="135"/>
        <v>3. 6K-10K</v>
      </c>
      <c r="AJ1452" s="1" t="str">
        <f t="shared" si="136"/>
        <v>3. 6-10 yrs</v>
      </c>
      <c r="AK1452" s="1" t="str">
        <f t="shared" si="137"/>
        <v>4. Very High</v>
      </c>
      <c r="AL1452" s="1" t="str">
        <f t="shared" si="138"/>
        <v>3. Better</v>
      </c>
    </row>
    <row r="1453" spans="1:38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f t="shared" si="133"/>
        <v>0</v>
      </c>
      <c r="AH1453" t="str">
        <f t="shared" si="134"/>
        <v>36-45</v>
      </c>
      <c r="AI1453" t="str">
        <f t="shared" si="135"/>
        <v>2. 3K-6K</v>
      </c>
      <c r="AJ1453" s="1" t="str">
        <f t="shared" si="136"/>
        <v>3. 6-10 yrs</v>
      </c>
      <c r="AK1453" s="1" t="str">
        <f t="shared" si="137"/>
        <v>4. Very High</v>
      </c>
      <c r="AL1453" s="1" t="str">
        <f t="shared" si="138"/>
        <v>3. Better</v>
      </c>
    </row>
    <row r="1454" spans="1:38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f t="shared" si="133"/>
        <v>1</v>
      </c>
      <c r="AH1454" t="str">
        <f t="shared" si="134"/>
        <v>46-55</v>
      </c>
      <c r="AI1454" t="str">
        <f t="shared" si="135"/>
        <v>3. 6K-10K</v>
      </c>
      <c r="AJ1454" s="1" t="str">
        <f t="shared" si="136"/>
        <v>3. 6-10 yrs</v>
      </c>
      <c r="AK1454" s="1" t="str">
        <f t="shared" si="137"/>
        <v>3. High</v>
      </c>
      <c r="AL1454" s="1" t="str">
        <f t="shared" si="138"/>
        <v>3. Better</v>
      </c>
    </row>
    <row r="1455" spans="1:38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f t="shared" si="133"/>
        <v>0</v>
      </c>
      <c r="AH1455" t="str">
        <f t="shared" si="134"/>
        <v>36-45</v>
      </c>
      <c r="AI1455" t="str">
        <f t="shared" si="135"/>
        <v>3. 6K-10K</v>
      </c>
      <c r="AJ1455" s="1" t="str">
        <f t="shared" si="136"/>
        <v>3. 6-10 yrs</v>
      </c>
      <c r="AK1455" s="1" t="str">
        <f t="shared" si="137"/>
        <v>4. Very High</v>
      </c>
      <c r="AL1455" s="1" t="str">
        <f t="shared" si="138"/>
        <v>2. Good</v>
      </c>
    </row>
    <row r="1456" spans="1:38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f t="shared" si="133"/>
        <v>0</v>
      </c>
      <c r="AH1456" t="str">
        <f t="shared" si="134"/>
        <v>36-45</v>
      </c>
      <c r="AI1456" t="str">
        <f t="shared" si="135"/>
        <v>2. 3K-6K</v>
      </c>
      <c r="AJ1456" s="1" t="str">
        <f t="shared" si="136"/>
        <v>2. 2-5 yrs</v>
      </c>
      <c r="AK1456" s="1" t="str">
        <f t="shared" si="137"/>
        <v>3. High</v>
      </c>
      <c r="AL1456" s="1" t="str">
        <f t="shared" si="138"/>
        <v>3. Better</v>
      </c>
    </row>
    <row r="1457" spans="1:38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f t="shared" si="133"/>
        <v>0</v>
      </c>
      <c r="AH1457" t="str">
        <f t="shared" si="134"/>
        <v>36-45</v>
      </c>
      <c r="AI1457" t="str">
        <f t="shared" si="135"/>
        <v>1. Under 3K</v>
      </c>
      <c r="AJ1457" s="1" t="str">
        <f t="shared" si="136"/>
        <v>2. 2-5 yrs</v>
      </c>
      <c r="AK1457" s="1" t="str">
        <f t="shared" si="137"/>
        <v>3. High</v>
      </c>
      <c r="AL1457" s="1" t="str">
        <f t="shared" si="138"/>
        <v>3. Better</v>
      </c>
    </row>
    <row r="1458" spans="1:38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f t="shared" si="133"/>
        <v>0</v>
      </c>
      <c r="AH1458" t="str">
        <f t="shared" si="134"/>
        <v>26-35</v>
      </c>
      <c r="AI1458" t="str">
        <f t="shared" si="135"/>
        <v>2. 3K-6K</v>
      </c>
      <c r="AJ1458" s="1" t="str">
        <f t="shared" si="136"/>
        <v>3. 6-10 yrs</v>
      </c>
      <c r="AK1458" s="1" t="str">
        <f t="shared" si="137"/>
        <v>3. High</v>
      </c>
      <c r="AL1458" s="1" t="str">
        <f t="shared" si="138"/>
        <v>4. Best</v>
      </c>
    </row>
    <row r="1459" spans="1:38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f t="shared" si="133"/>
        <v>0</v>
      </c>
      <c r="AH1459" t="str">
        <f t="shared" si="134"/>
        <v>36-45</v>
      </c>
      <c r="AI1459" t="str">
        <f t="shared" si="135"/>
        <v>1. Under 3K</v>
      </c>
      <c r="AJ1459" s="1" t="str">
        <f t="shared" si="136"/>
        <v>2. 2-5 yrs</v>
      </c>
      <c r="AK1459" s="1" t="str">
        <f t="shared" si="137"/>
        <v>3. High</v>
      </c>
      <c r="AL1459" s="1" t="str">
        <f t="shared" si="138"/>
        <v>3. Better</v>
      </c>
    </row>
    <row r="1460" spans="1:38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f t="shared" si="133"/>
        <v>0</v>
      </c>
      <c r="AH1460" t="str">
        <f t="shared" si="134"/>
        <v>26-35</v>
      </c>
      <c r="AI1460" t="str">
        <f t="shared" si="135"/>
        <v>1. Under 3K</v>
      </c>
      <c r="AJ1460" s="1" t="str">
        <f t="shared" si="136"/>
        <v>2. 2-5 yrs</v>
      </c>
      <c r="AK1460" s="1" t="str">
        <f t="shared" si="137"/>
        <v>4. Very High</v>
      </c>
      <c r="AL1460" s="1" t="str">
        <f t="shared" si="138"/>
        <v>3. Better</v>
      </c>
    </row>
    <row r="1461" spans="1:38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f t="shared" si="133"/>
        <v>0</v>
      </c>
      <c r="AH1461" t="str">
        <f t="shared" si="134"/>
        <v>26-35</v>
      </c>
      <c r="AI1461" t="str">
        <f t="shared" si="135"/>
        <v>2. 3K-6K</v>
      </c>
      <c r="AJ1461" s="1" t="str">
        <f t="shared" si="136"/>
        <v>2. 2-5 yrs</v>
      </c>
      <c r="AK1461" s="1" t="str">
        <f t="shared" si="137"/>
        <v>2. Medium</v>
      </c>
      <c r="AL1461" s="1" t="str">
        <f t="shared" si="138"/>
        <v>3. Better</v>
      </c>
    </row>
    <row r="1462" spans="1:38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f t="shared" si="133"/>
        <v>0</v>
      </c>
      <c r="AH1462" t="str">
        <f t="shared" si="134"/>
        <v>26-35</v>
      </c>
      <c r="AI1462" t="str">
        <f t="shared" si="135"/>
        <v>2. 3K-6K</v>
      </c>
      <c r="AJ1462" s="1" t="str">
        <f t="shared" si="136"/>
        <v>2. 2-5 yrs</v>
      </c>
      <c r="AK1462" s="1" t="str">
        <f t="shared" si="137"/>
        <v>1. Low</v>
      </c>
      <c r="AL1462" s="1" t="str">
        <f t="shared" si="138"/>
        <v>1. Bad</v>
      </c>
    </row>
    <row r="1463" spans="1:38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f t="shared" si="133"/>
        <v>1</v>
      </c>
      <c r="AH1463" t="str">
        <f t="shared" si="134"/>
        <v>46-55</v>
      </c>
      <c r="AI1463" t="str">
        <f t="shared" si="135"/>
        <v>4. 10K+</v>
      </c>
      <c r="AJ1463" s="1" t="str">
        <f t="shared" si="136"/>
        <v>2. 2-5 yrs</v>
      </c>
      <c r="AK1463" s="1" t="str">
        <f t="shared" si="137"/>
        <v>1. Low</v>
      </c>
      <c r="AL1463" s="1" t="str">
        <f t="shared" si="138"/>
        <v>3. Better</v>
      </c>
    </row>
    <row r="1464" spans="1:38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f t="shared" si="133"/>
        <v>0</v>
      </c>
      <c r="AH1464" t="str">
        <f t="shared" si="134"/>
        <v>36-45</v>
      </c>
      <c r="AI1464" t="str">
        <f t="shared" si="135"/>
        <v>4. 10K+</v>
      </c>
      <c r="AJ1464" s="1" t="str">
        <f t="shared" si="136"/>
        <v>4. 10+ yrs</v>
      </c>
      <c r="AK1464" s="1" t="str">
        <f t="shared" si="137"/>
        <v>4. Very High</v>
      </c>
      <c r="AL1464" s="1" t="str">
        <f t="shared" si="138"/>
        <v>2. Good</v>
      </c>
    </row>
    <row r="1465" spans="1:38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f t="shared" si="133"/>
        <v>0</v>
      </c>
      <c r="AH1465" t="str">
        <f t="shared" si="134"/>
        <v>26-35</v>
      </c>
      <c r="AI1465" t="str">
        <f t="shared" si="135"/>
        <v>3. 6K-10K</v>
      </c>
      <c r="AJ1465" s="1" t="str">
        <f t="shared" si="136"/>
        <v>3. 6-10 yrs</v>
      </c>
      <c r="AK1465" s="1" t="str">
        <f t="shared" si="137"/>
        <v>1. Low</v>
      </c>
      <c r="AL1465" s="1" t="str">
        <f t="shared" si="138"/>
        <v>3. Better</v>
      </c>
    </row>
    <row r="1466" spans="1:38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f t="shared" si="133"/>
        <v>0</v>
      </c>
      <c r="AH1466" t="str">
        <f t="shared" si="134"/>
        <v>26-35</v>
      </c>
      <c r="AI1466" t="str">
        <f t="shared" si="135"/>
        <v>1. Under 3K</v>
      </c>
      <c r="AJ1466" s="1" t="str">
        <f t="shared" si="136"/>
        <v>2. 2-5 yrs</v>
      </c>
      <c r="AK1466" s="1" t="str">
        <f t="shared" si="137"/>
        <v>3. High</v>
      </c>
      <c r="AL1466" s="1" t="str">
        <f t="shared" si="138"/>
        <v>3. Better</v>
      </c>
    </row>
    <row r="1467" spans="1:38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f t="shared" si="133"/>
        <v>0</v>
      </c>
      <c r="AH1467" t="str">
        <f t="shared" si="134"/>
        <v>36-45</v>
      </c>
      <c r="AI1467" t="str">
        <f t="shared" si="135"/>
        <v>1. Under 3K</v>
      </c>
      <c r="AJ1467" s="1" t="str">
        <f t="shared" si="136"/>
        <v>2. 2-5 yrs</v>
      </c>
      <c r="AK1467" s="1" t="str">
        <f t="shared" si="137"/>
        <v>4. Very High</v>
      </c>
      <c r="AL1467" s="1" t="str">
        <f t="shared" si="138"/>
        <v>3. Better</v>
      </c>
    </row>
    <row r="1468" spans="1:38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f t="shared" si="133"/>
        <v>0</v>
      </c>
      <c r="AH1468" t="str">
        <f t="shared" si="134"/>
        <v>36-45</v>
      </c>
      <c r="AI1468" t="str">
        <f t="shared" si="135"/>
        <v>3. 6K-10K</v>
      </c>
      <c r="AJ1468" s="1" t="str">
        <f t="shared" si="136"/>
        <v>3. 6-10 yrs</v>
      </c>
      <c r="AK1468" s="1" t="str">
        <f t="shared" si="137"/>
        <v>1. Low</v>
      </c>
      <c r="AL1468" s="1" t="str">
        <f t="shared" si="138"/>
        <v>3. Better</v>
      </c>
    </row>
    <row r="1469" spans="1:38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f t="shared" si="133"/>
        <v>0</v>
      </c>
      <c r="AH1469" t="str">
        <f t="shared" si="134"/>
        <v>26-35</v>
      </c>
      <c r="AI1469" t="str">
        <f t="shared" si="135"/>
        <v>3. 6K-10K</v>
      </c>
      <c r="AJ1469" s="1" t="str">
        <f t="shared" si="136"/>
        <v>3. 6-10 yrs</v>
      </c>
      <c r="AK1469" s="1" t="str">
        <f t="shared" si="137"/>
        <v>2. Medium</v>
      </c>
      <c r="AL1469" s="1" t="str">
        <f t="shared" si="138"/>
        <v>3. Better</v>
      </c>
    </row>
    <row r="1470" spans="1:38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f t="shared" si="133"/>
        <v>0</v>
      </c>
      <c r="AH1470" t="str">
        <f t="shared" si="134"/>
        <v>46-55</v>
      </c>
      <c r="AI1470" t="str">
        <f t="shared" si="135"/>
        <v>2. 3K-6K</v>
      </c>
      <c r="AJ1470" s="1" t="str">
        <f t="shared" si="136"/>
        <v>3. 6-10 yrs</v>
      </c>
      <c r="AK1470" s="1" t="str">
        <f t="shared" si="137"/>
        <v>2. Medium</v>
      </c>
      <c r="AL1470" s="1" t="str">
        <f t="shared" si="138"/>
        <v>2. Good</v>
      </c>
    </row>
    <row r="1471" spans="1:38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f t="shared" si="133"/>
        <v>0</v>
      </c>
      <c r="AH1471" t="str">
        <f t="shared" si="134"/>
        <v>26-35</v>
      </c>
      <c r="AI1471" t="str">
        <f t="shared" si="135"/>
        <v>2. 3K-6K</v>
      </c>
      <c r="AJ1471" s="1" t="str">
        <f t="shared" si="136"/>
        <v>2. 2-5 yrs</v>
      </c>
      <c r="AK1471" s="1" t="str">
        <f t="shared" si="137"/>
        <v>3. High</v>
      </c>
      <c r="AL1471" s="1" t="str">
        <f t="shared" si="138"/>
        <v>4. Best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A789-D9A9-4890-8D0D-806D16DFE1FC}">
  <dimension ref="A1:Z12"/>
  <sheetViews>
    <sheetView showGridLines="0" workbookViewId="0">
      <selection activeCell="Y33" sqref="Y33"/>
    </sheetView>
  </sheetViews>
  <sheetFormatPr defaultRowHeight="15"/>
  <cols>
    <col min="1" max="16384" width="9.140625" style="5"/>
  </cols>
  <sheetData>
    <row r="1" spans="1:26" s="12" customFormat="1" ht="31.5">
      <c r="A1" s="11" t="s">
        <v>95</v>
      </c>
    </row>
    <row r="3" spans="1:26">
      <c r="B3" s="9" t="s">
        <v>96</v>
      </c>
      <c r="C3" s="9"/>
      <c r="D3" s="9"/>
      <c r="F3" s="9" t="s">
        <v>97</v>
      </c>
      <c r="G3" s="9"/>
      <c r="H3" s="9"/>
      <c r="J3" s="9" t="s">
        <v>63</v>
      </c>
      <c r="K3" s="9"/>
      <c r="L3" s="9"/>
      <c r="N3" s="9" t="s">
        <v>98</v>
      </c>
      <c r="O3" s="9"/>
      <c r="P3" s="9"/>
      <c r="R3" s="9" t="s">
        <v>99</v>
      </c>
      <c r="S3" s="9"/>
      <c r="T3" s="9"/>
    </row>
    <row r="4" spans="1:26">
      <c r="B4" s="9">
        <f>COUNTA('Clean data'!I2:I1471)</f>
        <v>1470</v>
      </c>
      <c r="C4" s="9"/>
      <c r="D4" s="9"/>
      <c r="F4" s="9">
        <f>SUM('Clean data'!AG2:AG1471)</f>
        <v>237</v>
      </c>
      <c r="G4" s="9"/>
      <c r="H4" s="9"/>
      <c r="J4" s="13">
        <f>AVERAGE('Clean data'!AG2:AG1471)</f>
        <v>0.16122448979591836</v>
      </c>
      <c r="K4" s="13"/>
      <c r="L4" s="13"/>
      <c r="N4" s="8">
        <f>AVERAGE('Clean data'!R2:R1471)</f>
        <v>6502.931292517007</v>
      </c>
      <c r="O4" s="8"/>
      <c r="P4" s="8"/>
      <c r="R4" s="10">
        <f>AVERAGE(HR[YearsAtCompany])</f>
        <v>7.0081632653061225</v>
      </c>
      <c r="S4" s="10"/>
      <c r="T4" s="10"/>
    </row>
    <row r="5" spans="1:26">
      <c r="B5" s="9"/>
      <c r="C5" s="9"/>
      <c r="D5" s="9"/>
      <c r="F5" s="9"/>
      <c r="G5" s="9"/>
      <c r="H5" s="9"/>
      <c r="J5" s="13"/>
      <c r="K5" s="13"/>
      <c r="L5" s="13"/>
      <c r="N5" s="8"/>
      <c r="O5" s="8"/>
      <c r="P5" s="8"/>
      <c r="R5" s="10"/>
      <c r="S5" s="10"/>
      <c r="T5" s="10"/>
    </row>
    <row r="6" spans="1:26">
      <c r="B6" s="6"/>
      <c r="C6" s="6"/>
      <c r="D6" s="6"/>
      <c r="E6" s="7"/>
    </row>
    <row r="7" spans="1:26" ht="18.75">
      <c r="B7" s="6"/>
      <c r="C7" s="6"/>
      <c r="D7" s="6"/>
      <c r="E7" s="7"/>
      <c r="R7" s="14" t="s">
        <v>100</v>
      </c>
    </row>
    <row r="8" spans="1:26" ht="18.75" customHeight="1">
      <c r="R8" s="16" t="s">
        <v>101</v>
      </c>
      <c r="S8" s="16"/>
      <c r="T8" s="16"/>
      <c r="U8" s="16"/>
      <c r="V8" s="16"/>
      <c r="W8" s="16"/>
      <c r="X8" s="16"/>
      <c r="Y8" s="16"/>
      <c r="Z8" s="17"/>
    </row>
    <row r="9" spans="1:26" ht="18.75" customHeight="1">
      <c r="R9" s="15" t="s">
        <v>102</v>
      </c>
      <c r="S9" s="15"/>
      <c r="T9" s="15"/>
      <c r="U9" s="15"/>
      <c r="V9" s="15"/>
      <c r="W9" s="15"/>
      <c r="X9" s="15"/>
      <c r="Y9" s="15"/>
    </row>
    <row r="10" spans="1:26" ht="18.75" customHeight="1">
      <c r="R10" s="15" t="s">
        <v>103</v>
      </c>
      <c r="S10" s="15"/>
      <c r="T10" s="15"/>
      <c r="U10" s="15"/>
      <c r="V10" s="15"/>
      <c r="W10" s="15"/>
      <c r="X10" s="15"/>
      <c r="Y10" s="15"/>
    </row>
    <row r="11" spans="1:26" ht="20.25" customHeight="1">
      <c r="R11" s="15" t="s">
        <v>104</v>
      </c>
      <c r="S11" s="15"/>
      <c r="T11" s="15"/>
      <c r="U11" s="15"/>
      <c r="V11" s="15"/>
      <c r="W11" s="15"/>
      <c r="X11" s="15"/>
      <c r="Y11" s="15"/>
    </row>
    <row r="12" spans="1:26" ht="15" customHeight="1">
      <c r="R12" s="15" t="s">
        <v>105</v>
      </c>
      <c r="S12" s="15"/>
      <c r="T12" s="15"/>
      <c r="U12" s="15"/>
      <c r="V12" s="15"/>
      <c r="W12" s="15"/>
      <c r="X12" s="15"/>
      <c r="Y12" s="15"/>
    </row>
  </sheetData>
  <mergeCells count="15">
    <mergeCell ref="R9:Y9"/>
    <mergeCell ref="R10:Y10"/>
    <mergeCell ref="R11:Y11"/>
    <mergeCell ref="R12:Y12"/>
    <mergeCell ref="N4:P5"/>
    <mergeCell ref="R3:T3"/>
    <mergeCell ref="R4:T5"/>
    <mergeCell ref="A1:XFD1"/>
    <mergeCell ref="B3:D3"/>
    <mergeCell ref="B4:D5"/>
    <mergeCell ref="F3:H3"/>
    <mergeCell ref="F4:H5"/>
    <mergeCell ref="J3:L3"/>
    <mergeCell ref="J4:L5"/>
    <mergeCell ref="N3: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B1DF-1218-4A39-8DA6-FA4335F3A1C9}">
  <dimension ref="A1:AI1471"/>
  <sheetViews>
    <sheetView tabSelected="1" topLeftCell="A35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2026-10-04T07:59:53Z</dcterms:created>
  <dcterms:modified xsi:type="dcterms:W3CDTF">2026-10-06T11:44:31Z</dcterms:modified>
  <cp:category/>
  <cp:contentStatus/>
</cp:coreProperties>
</file>